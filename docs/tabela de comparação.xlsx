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e0a53c4c7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vo" sheetId="1" r:id="R7ef7c31368584f04"/>
    <x:sheet xmlns:r="http://schemas.openxmlformats.org/officeDocument/2006/relationships" name="Funcionalidades" sheetId="2" r:id="R53fdad9ffb6547b1"/>
    <x:sheet xmlns:r="http://schemas.openxmlformats.org/officeDocument/2006/relationships" name="Equipamentos" sheetId="3" r:id="Ra53df0e4f6db45e3"/>
    <x:sheet xmlns:r="http://schemas.openxmlformats.org/officeDocument/2006/relationships" name="Custos" sheetId="4" r:id="Rbeb4acfc7e3a4344"/>
  </x:sheets>
</x:workbook>
</file>

<file path=xl/sharedStrings.xml><?xml version="1.0" encoding="utf-8"?>
<x:sst xmlns:x="http://schemas.openxmlformats.org/spreadsheetml/2006/main">
  <x:si>
    <x:t xml:space="preserve">Comparativo de soluções de teleconsulta – Projeto PUC Minas ↔ UBS</x:t>
  </x:si>
  <x:si>
    <x:t xml:space="preserve">Valores de custo vêm da aba Custos (verde). Preços são estimativas/referências e devem ser confirmados com os fornecedores.</x:t>
  </x:si>
  <x:si>
    <x:t xml:space="preserve">Nº</x:t>
  </x:si>
  <x:si>
    <x:t xml:space="preserve">Software</x:t>
  </x:si>
  <x:si>
    <x:t xml:space="preserve">Tipo / modelo</x:t>
  </x:si>
  <x:si>
    <x:t xml:space="preserve">Modelo de cobrança</x:t>
  </x:si>
  <x:si>
    <x:t xml:space="preserve">Preço informado</x:t>
  </x:si>
  <x:si>
    <x:t xml:space="preserve">Investimento inicial (R$)</x:t>
  </x:si>
  <x:si>
    <x:t xml:space="preserve">Recorrente mensal (R$)</x:t>
  </x:si>
  <x:si>
    <x:t xml:space="preserve">Custo no horizonte (R$)</x:t>
  </x:si>
  <x:si>
    <x:t xml:space="preserve">O que oferece</x:t>
  </x:si>
  <x:si>
    <x:t xml:space="preserve">Requisitos mínimos</x:t>
  </x:si>
  <x:si>
    <x:t xml:space="preserve">Código aberto / modificável?</x:t>
  </x:si>
  <x:si>
    <x:t xml:space="preserve">Hospedagem</x:t>
  </x:si>
  <x:si>
    <x:t xml:space="preserve">Pontos fortes</x:t>
  </x:si>
  <x:si>
    <x:t xml:space="preserve">Pontos de atenção</x:t>
  </x:si>
  <x:si>
    <x:t xml:space="preserve">Link</x:t>
  </x:si>
  <x:si>
    <x:t xml:space="preserve">Portal Telemedicina</x:t>
  </x:si>
  <x:si>
    <x:t xml:space="preserve">Plataforma comercial completa</x:t>
  </x:si>
  <x:si>
    <x:t xml:space="preserve">Licença institucional anual</x:t>
  </x:si>
  <x:si>
    <x:t xml:space="preserve">≈ R$ 55.000/ano (licença, suporte e serviços)</x:t>
  </x:si>
  <x:si>
    <x:t xml:space="preserve">Teleconsulta, telediagnóstico, integração entre sistemas e com aparelhos médicos (≈ 90% dos equipamentos do mercado); exibe prontuários, laboratórios, LIS e PACS.</x:t>
  </x:si>
  <x:si>
    <x:t xml:space="preserve">PC 16 GB RAM/SSD 512 GB, monitor 24", webcam 1080p, headset, nobreak, rede + estetoscópio, otoscópio, monitor multiparamétrico e ECG digitais.</x:t>
  </x:si>
  <x:si>
    <x:t xml:space="preserve">Não</x:t>
  </x:si>
  <x:si>
    <x:t xml:space="preserve">Fornecedor</x:t>
  </x:si>
  <x:si>
    <x:t xml:space="preserve">Maior integração com equipamentos e sistemas hospitalares (LIS/PACS).</x:t>
  </x:si>
  <x:si>
    <x:t xml:space="preserve">Custo mais alto; soma dos equipamentos (R$ 40.100) difere do total informado (R$ 45.000).</x:t>
  </x:si>
  <x:si>
    <x:t xml:space="preserve">Abrir site</x:t>
  </x:si>
  <x:si>
    <x:t xml:space="preserve">Conexa Saúde</x:t>
  </x:si>
  <x:si>
    <x:t xml:space="preserve">Plataforma comercial (SaaS)</x:t>
  </x:si>
  <x:si>
    <x:t xml:space="preserve">Assinatura mensal</x:t>
  </x:si>
  <x:si>
    <x:t xml:space="preserve">≈ R$ 1.490/mês (≈ R$ 18.000/ano, plano 100 usuários)</x:t>
  </x:si>
  <x:si>
    <x:t xml:space="preserve">Teleconsulta por vídeo, pronto atendimento digital, especialistas, prontuário eletrônico (comorbidades, medicamentos, alergias, histórico), triagem e acompanhamento.</x:t>
  </x:si>
  <x:si>
    <x:t xml:space="preserve">PC 16 GB RAM/SSD 512 GB, monitor 24", webcam 1080p, headset USB, nobreak, rede, internet fibra + estetoscópio Eko, otoscópio, monitor ECG e eletrocardiógrafo.</x:t>
  </x:si>
  <x:si>
    <x:t xml:space="preserve">Fornecedor (nuvem)</x:t>
  </x:si>
  <x:si>
    <x:t xml:space="preserve">Prontuário completo e custo de software menor que o Portal.</x:t>
  </x:si>
  <x:si>
    <x:t xml:space="preserve">Soma dos equipamentos (R$ 33.699) + recorrentes; confirmar compatibilidade dos aparelhos.</x:t>
  </x:si>
  <x:si>
    <x:t xml:space="preserve">Jitsi Meet (self-hosted)</x:t>
  </x:si>
  <x:si>
    <x:t xml:space="preserve">Software livre de videoconferência</x:t>
  </x:si>
  <x:si>
    <x:t xml:space="preserve">Gratuito (custo é o servidor)</x:t>
  </x:si>
  <x:si>
    <x:t xml:space="preserve">R$ 0 de licença; servidor próprio ou alugado</x:t>
  </x:si>
  <x:si>
    <x:t xml:space="preserve">Videoconferência pelo navegador, compartilhamento de tela, chat e gravação (Jibri). Controle total dos dados, segurança e funcionalidades.</x:t>
  </x:si>
  <x:si>
    <x:t xml:space="preserve">Servidor Linux (Debian/Ubuntu), 8 GB RAM recomendado (4 GB reuniões pequenas), CPU dedicada; gravação 720p exige +8 GB RAM por reunião e SSD. Banda: ~2,5 Mbps (720p) / 4–5 Mbps (1080p) por participante. Usuário: navegador, câmera e microfone.</x:t>
  </x:si>
  <x:si>
    <x:t xml:space="preserve">Sim</x:t>
  </x:si>
  <x:si>
    <x:t xml:space="preserve">Própria (PUC)</x:t>
  </x:si>
  <x:si>
    <x:t xml:space="preserve">Sem licença; dados sob controle da instituição (LGPD); o grupo pode modificar o código.</x:t>
  </x:si>
  <x:si>
    <x:t xml:space="preserve">Não tem prontuário nem integração com equipamentos; exige equipe técnica para manter o servidor.</x:t>
  </x:si>
  <x:si>
    <x:t xml:space="preserve">iClinic (Teleconsulta)</x:t>
  </x:si>
  <x:si>
    <x:t xml:space="preserve">Prontuário eletrônico em nuvem com teleconsulta</x:t>
  </x:si>
  <x:si>
    <x:t xml:space="preserve">Por profissional/mês</x:t>
  </x:si>
  <x:si>
    <x:t xml:space="preserve">R$ 99 (Starter) a R$ 299 (Premium); teleconsulta ilimitada só no Premium, demais +R$ 35/10 atendimentos</x:t>
  </x:si>
  <x:si>
    <x:t xml:space="preserve">Agenda, cadastro, prontuário personalizável, prescrição, teleconsulta com prontuário aberto e compartilhamento de tela, gravações anexáveis, lembretes por WhatsApp, documentos com validade jurídica.</x:t>
  </x:si>
  <x:si>
    <x:t xml:space="preserve">Nuvem, sem servidor próprio: computador com navegador, webcam, microfone e internet estável (ref. MS: 10 Mbps down / 5 Mbps up). Sem ficha oficial de requisitos.</x:t>
  </x:si>
  <x:si>
    <x:t xml:space="preserve">Barato e simples de implantar; gestão clínica completa.</x:t>
  </x:si>
  <x:si>
    <x:t xml:space="preserve">Voltado a consultório; sem integração com equipamentos médicos; preços de sites comparativos.</x:t>
  </x:si>
  <x:si>
    <x:t xml:space="preserve">Plataforma + Cabine – Pref. Ipatinga/MG</x:t>
  </x:si>
  <x:si>
    <x:t xml:space="preserve">Plataforma + cabine de atendimento (contratação pública)</x:t>
  </x:si>
  <x:si>
    <x:t xml:space="preserve">Cabine + infraestrutura + licença mensal</x:t>
  </x:si>
  <x:si>
    <x:t xml:space="preserve">Ref.: R$ 18.786,67/cabine; R$ 846,67 infraestrutura; R$ 3.483,33/mês licença</x:t>
  </x:si>
  <x:si>
    <x:t xml:space="preserve">Teleconsulta integrada a cabine com kit (PC, TV, webcam, nobreak, internet, equipamentos conectados). Coleta de pressão, saturação, FC, temperatura, glicemia; ECG, ausculta, otoscopia e dermatoscopia.</x:t>
  </x:si>
  <x:si>
    <x:t xml:space="preserve">PC 4 núcleos, 4 GB RAM, SSD 240 GB, Windows 10 Pro 64 bits+; webcam 720p c/ microfone, TV, internet, teclado, mouse, nobreak.</x:t>
  </x:si>
  <x:si>
    <x:t xml:space="preserve">Não (personalização visual)</x:t>
  </x:si>
  <x:si>
    <x:t xml:space="preserve">Solução pronta para UBS, com coleta de sinais vitais e exames.</x:t>
  </x:si>
  <x:si>
    <x:t xml:space="preserve">Valores de referência de licitação; licença mensal eleva o custo anual.</x:t>
  </x:si>
  <x:si>
    <x:t xml:space="preserve">Abrir edital</x:t>
  </x:si>
  <x:si>
    <x:t xml:space="preserve">Plataforma + Kit Básico – Pref. Uberlândia/MG</x:t>
  </x:si>
  <x:si>
    <x:t xml:space="preserve">Plataforma SaaS + totem + kit (contratação pública)</x:t>
  </x:si>
  <x:si>
    <x:t xml:space="preserve">Licença SaaS + totem + locação de kit</x:t>
  </x:si>
  <x:si>
    <x:t xml:space="preserve">Ref.: R$ 51.897,53 licença SaaS; R$ 2.374,38 totem; R$ 157,00 locação kit (por unidade)</x:t>
  </x:si>
  <x:si>
    <x:t xml:space="preserve">Teleconsultas com áudio e vídeo em tempo real, configuração, suporte, treinamento e integração com sistemas de saúde; totem de autoatendimento e kit com microcomputador.</x:t>
  </x:si>
  <x:si>
    <x:t xml:space="preserve">Internet (Wi-Fi ou Ethernet) e equipamento para chamadas de áudio e vídeo; microcomputador completo, plataforma Web e aplicativo.</x:t>
  </x:si>
  <x:si>
    <x:t xml:space="preserve">Fornecedor (SaaS)</x:t>
  </x:si>
  <x:si>
    <x:t xml:space="preserve">Inclui suporte, treinamento e integração com outros sistemas.</x:t>
  </x:si>
  <x:si>
    <x:t xml:space="preserve">Licença cara; periodicidade dos valores precisa ser confirmada no edital; sem acesso ao código.</x:t>
  </x:si>
  <x:si>
    <x:t xml:space="preserve">Matriz de funcionalidades</x:t>
  </x:si>
  <x:si>
    <x:t xml:space="preserve">Sim / Parcial / Não / N/I (não informado na pesquisa). Baseado apenas no que foi levantado; confirmar itens N/I com os fornecedores.</x:t>
  </x:si>
  <x:si>
    <x:t xml:space="preserve">Funcionalidade</x:t>
  </x:si>
  <x:si>
    <x:t xml:space="preserve">Teleconsulta por vídeo</x:t>
  </x:si>
  <x:si>
    <x:t xml:space="preserve">Prontuário eletrônico</x:t>
  </x:si>
  <x:si>
    <x:t xml:space="preserve">N/I</x:t>
  </x:si>
  <x:si>
    <x:t xml:space="preserve">Integração com equipamentos médicos</x:t>
  </x:si>
  <x:si>
    <x:t xml:space="preserve">Parcial</x:t>
  </x:si>
  <x:si>
    <x:t xml:space="preserve">Coleta de sinais vitais / exames</x:t>
  </x:si>
  <x:si>
    <x:t xml:space="preserve">Gravação de consultas</x:t>
  </x:si>
  <x:si>
    <x:t xml:space="preserve">Agenda / lembretes ao paciente</x:t>
  </x:si>
  <x:si>
    <x:t xml:space="preserve">Integração com outros sistemas (LIS, PACS etc.)</x:t>
  </x:si>
  <x:si>
    <x:t xml:space="preserve">Código aberto / modificável</x:t>
  </x:si>
  <x:si>
    <x:t xml:space="preserve">Dados sob controle da instituição</x:t>
  </x:si>
  <x:si>
    <x:t xml:space="preserve">Sem servidor próprio (nuvem/SaaS)</x:t>
  </x:si>
  <x:si>
    <x:t xml:space="preserve">Personalização (visual/prontuário)</x:t>
  </x:si>
  <x:si>
    <x:t xml:space="preserve">Suporte / treinamento do fornecedor</x:t>
  </x:si>
  <x:si>
    <x:t xml:space="preserve">Total de "Sim"</x:t>
  </x:si>
  <x:si>
    <x:t xml:space="preserve">Detalhamento de equipamentos e infraestrutura (valores informados pelo grupo)</x:t>
  </x:si>
  <x:si>
    <x:t xml:space="preserve">Software 1 – Portal Telemedicina</x:t>
  </x:si>
  <x:si>
    <x:t xml:space="preserve">Item</x:t>
  </x:si>
  <x:si>
    <x:t xml:space="preserve">Valor (R$)</x:t>
  </x:si>
  <x:si>
    <x:t xml:space="preserve">Computador/notebook 16 GB RAM, SSD 512 GB</x:t>
  </x:si>
  <x:si>
    <x:t xml:space="preserve">Monitor 24" Full HD</x:t>
  </x:si>
  <x:si>
    <x:t xml:space="preserve">Webcam Full HD 1080p</x:t>
  </x:si>
  <x:si>
    <x:t xml:space="preserve">Headset profissional c/ redução de ruído</x:t>
  </x:si>
  <x:si>
    <x:t xml:space="preserve">Nobreak</x:t>
  </x:si>
  <x:si>
    <x:t xml:space="preserve">Rede/cabos/adaptadores</x:t>
  </x:si>
  <x:si>
    <x:t xml:space="preserve">Estetoscópio digital</x:t>
  </x:si>
  <x:si>
    <x:t xml:space="preserve">Otoscópio digital</x:t>
  </x:si>
  <x:si>
    <x:t xml:space="preserve">Monitor multiparamétrico</x:t>
  </x:si>
  <x:si>
    <x:t xml:space="preserve">ECG 12 derivações</x:t>
  </x:si>
  <x:si>
    <x:t xml:space="preserve">TOTAL (soma dos itens)</x:t>
  </x:si>
  <x:si>
    <x:t xml:space="preserve">Total informado no texto do grupo</x:t>
  </x:si>
  <x:si>
    <x:t xml:space="preserve">Diferença (informado − soma)</x:t>
  </x:si>
  <x:si>
    <x:t xml:space="preserve">Software 2 – Conexa Saúde (itens de compra única)</x:t>
  </x:si>
  <x:si>
    <x:t xml:space="preserve">Headset USB c/ redução de ruído</x:t>
  </x:si>
  <x:si>
    <x:t xml:space="preserve">Rede/cabeamento</x:t>
  </x:si>
  <x:si>
    <x:t xml:space="preserve">Estetoscópio digital Eko CORE 500</x:t>
  </x:si>
  <x:si>
    <x:t xml:space="preserve">Otoscópio digital SyncVision Full HD</x:t>
  </x:si>
  <x:si>
    <x:t xml:space="preserve">Monitor multiparamétrico ECG</x:t>
  </x:si>
  <x:si>
    <x:t xml:space="preserve">Eletrocardiógrafo 12 derivações (compatível c/ PC)</x:t>
  </x:si>
  <x:si>
    <x:t xml:space="preserve">Software 2 – custos mensais recorrentes</x:t>
  </x:si>
  <x:si>
    <x:t xml:space="preserve">Valor mensal (R$)</x:t>
  </x:si>
  <x:si>
    <x:t xml:space="preserve">Software Conexa Saúde (teleconsulta, prontuário, atendimento)</x:t>
  </x:si>
  <x:si>
    <x:t xml:space="preserve">Internet fibra</x:t>
  </x:si>
  <x:si>
    <x:t xml:space="preserve">Kit básico de computador (referência)</x:t>
  </x:si>
  <x:si>
    <x:t xml:space="preserve">Soma dos 6 primeiros itens do Software 2 (PC, monitor, webcam, headset, nobreak, rede). Usado como estimativa para Jitsi e iClinic, que não têm equipamentos cotados.</x:t>
  </x:si>
  <x:si>
    <x:t xml:space="preserve">Legenda: azul = valor digitado (editável) · preto = fórmula</x:t>
  </x:si>
  <x:si>
    <x:t xml:space="preserve">Estimativa de custos por solução</x:t>
  </x:si>
  <x:si>
    <x:t xml:space="preserve">Legenda: azul = premissa editável · verde = vem da aba Equipamentos · amarelo = precisa ser preenchido/confirmado · preto = fórmula</x:t>
  </x:si>
  <x:si>
    <x:t xml:space="preserve">Premissa</x:t>
  </x:si>
  <x:si>
    <x:t xml:space="preserve">Valor</x:t>
  </x:si>
  <x:si>
    <x:t xml:space="preserve">Fonte / observação</x:t>
  </x:si>
  <x:si>
    <x:t xml:space="preserve">Horizonte de análise (meses)</x:t>
  </x:si>
  <x:si>
    <x:t xml:space="preserve">Premissa: 1 ano. Altere para simular outros períodos.</x:t>
  </x:si>
  <x:si>
    <x:t xml:space="preserve">Nº de profissionais (iClinic)</x:t>
  </x:si>
  <x:si>
    <x:t xml:space="preserve">Premissa: iClinic cobra por profissional/mês.</x:t>
  </x:si>
  <x:si>
    <x:t xml:space="preserve">Nº de unidades (cabines/licenças dos editais)</x:t>
  </x:si>
  <x:si>
    <x:t xml:space="preserve">Premissa: 1 unidade/ponto de atendimento.</x:t>
  </x:si>
  <x:si>
    <x:t xml:space="preserve">Portal Telemedicina – licença institucional (R$/ano)</x:t>
  </x:si>
  <x:si>
    <x:t xml:space="preserve">Informado pelo grupo (licença + suporte + serviços).</x:t>
  </x:si>
  <x:si>
    <x:t xml:space="preserve">Conexa Saúde – software (R$/mês)</x:t>
  </x:si>
  <x:si>
    <x:t xml:space="preserve">Informado pelo grupo (≈ R$ 18.000/ano no plano de 100 usuários).</x:t>
  </x:si>
  <x:si>
    <x:t xml:space="preserve">Conexa Saúde – internet fibra (R$/mês)</x:t>
  </x:si>
  <x:si>
    <x:t xml:space="preserve">Informado pelo grupo.</x:t>
  </x:si>
  <x:si>
    <x:t xml:space="preserve">Jitsi – servidor/VPS (R$/mês)</x:t>
  </x:si>
  <x:si>
    <x:t xml:space="preserve">NÃO INFORMADO: software é gratuito, mas o servidor (próprio ou alugado, 8 GB RAM recomendado) tem custo. Preencher.</x:t>
  </x:si>
  <x:si>
    <x:t xml:space="preserve">iClinic – plano Premium (R$/profissional/mês)</x:t>
  </x:si>
  <x:si>
    <x:t xml:space="preserve">Único plano com teleconsulta ilimitada (ago/2026, sites comparativos). Confirmar na página oficial.</x:t>
  </x:si>
  <x:si>
    <x:t xml:space="preserve">Ipatinga – cabine com kit (R$/unidade)</x:t>
  </x:si>
  <x:si>
    <x:t xml:space="preserve">Valor de referência do edital.</x:t>
  </x:si>
  <x:si>
    <x:t xml:space="preserve">Ipatinga – infraestrutura completa (R$/unidade)</x:t>
  </x:si>
  <x:si>
    <x:t xml:space="preserve">Ipatinga – licença da plataforma (R$/unidade/mês)</x:t>
  </x:si>
  <x:si>
    <x:t xml:space="preserve">Uberlândia – licença SaaS (R$/unidade)</x:t>
  </x:si>
  <x:si>
    <x:t xml:space="preserve">Valor de referência do edital. Conferir no edital a periodicidade (mensal/anual/contrato).</x:t>
  </x:si>
  <x:si>
    <x:t xml:space="preserve">Uberlândia – totem de autoatendimento (R$/unidade)</x:t>
  </x:si>
  <x:si>
    <x:t xml:space="preserve">Uberlândia – locação kit básico (R$/unidade)</x:t>
  </x:si>
  <x:si>
    <x:t xml:space="preserve">Valor de referência do edital. Conferir periodicidade da locação.</x:t>
  </x:si>
  <x:si>
    <x:t xml:space="preserve">Estimativa usada para Jitsi e iClinic (sem equipamentos médicos).</x:t>
  </x:si>
  <x:si>
    <x:t xml:space="preserve">Resumo de custos</x:t>
  </x:si>
  <x:si>
    <x:t xml:space="preserve">Custo recorrente mensal (R$)</x:t>
  </x:si>
  <x:si>
    <x:t xml:space="preserve">Custo total no horizonte (R$)</x:t>
  </x:si>
  <x:si>
    <x:t xml:space="preserve">Observação</x:t>
  </x:si>
  <x:si>
    <x:t xml:space="preserve">Equipamentos médicos inclusos. Licença anual convertida em mensal.</x:t>
  </x:si>
  <x:si>
    <x:t xml:space="preserve">Equipamentos médicos inclusos; mensal = software + internet.</x:t>
  </x:si>
  <x:si>
    <x:t xml:space="preserve">Sem equipamentos médicos. Custo do servidor precisa ser preenchido.</x:t>
  </x:si>
  <x:si>
    <x:t xml:space="preserve">Sem equipamentos médicos. Plano Premium por profissional.</x:t>
  </x:si>
  <x:si>
    <x:t xml:space="preserve">Cabine com kit e equipamentos conectados (referência pública).</x:t>
  </x:si>
  <x:si>
    <x:t xml:space="preserve">Valores de referência somados como custo único; periodicidade a confirmar no edital.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</x:si>
</x:sst>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&quot;R$ &quot;#,##0.00;&quot;(R$ &quot;#,##0.00\);\-"/>
    <x:numFmt numFmtId="166" formatCode="General"/>
    <x:numFmt numFmtId="167" formatCode="0"/>
    <x:numFmt numFmtId="168" formatCode="#,##0"/>
    <x:numFmt numFmtId="200" formatCode="&quot;R$ &quot;#,##0.00;&quot;(R$ &quot;#,##0.00);-"/>
    <x:numFmt numFmtId="201" formatCode="&quot;R$ &quot;#,##0.00"/>
  </x:numFmts>
  <x:fonts count="2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Arial"/>
    </x:font>
    <x:font>
      <x:sz val="11"/>
      <x:color theme="1"/>
      <x:name val="Arial"/>
    </x:font>
    <x:font>
      <x:i/>
      <x:sz val="9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008000"/>
      <x:name val="Arial"/>
    </x:font>
    <x:font>
      <x:sz val="11"/>
      <x:color rgb="FF0563C1"/>
      <x:name val="Arial"/>
    </x:font>
    <x:font>
      <x:b/>
      <x:sz val="13"/>
      <x:name val="Arial"/>
    </x:font>
    <x:font>
      <x:sz val="11"/>
      <x:color rgb="FF0000FF"/>
      <x:name val="Arial"/>
    </x:font>
    <x:font>
      <x:i/>
      <x:sz val="11"/>
      <x:name val="Arial"/>
    </x:font>
    <x:font>
      <x:b/>
      <x:sz val="12"/>
      <x:name val="Arial"/>
    </x:font>
    <x:font>
      <x:b/>
      <x:sz val="18"/>
      <x:color rgb="FF000000"/>
      <x:name val="Calibri"/>
    </x:font>
    <x:font>
      <x:sz val="10"/>
      <x:color rgb="FF000000"/>
      <x:name val="Calibri"/>
    </x:font>
    <x:font>
      <x:sz val="11"/>
      <x:color rgb="FF0000FF"/>
      <x:name val="Calibri"/>
    </x:font>
    <x:font>
      <x:b/>
      <x:sz val="11"/>
      <x:color theme="1"/>
      <x:name val="Arial"/>
    </x:font>
    <x:font>
      <x:b/>
      <x:i/>
      <x:sz val="11"/>
      <x:name val="Arial"/>
    </x:font>
    <x:font>
      <x:i/>
      <x:sz val="9"/>
      <x:color theme="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FFF00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FFF00"/>
      </x:patternFill>
    </x:fill>
  </x:fills>
  <x:borders count="16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top style="thin">
        <x:color rgb="FFBFBFBF"/>
      </x:top>
      <x:bottom style="thin">
        <x:color rgb="FFBFBFBF"/>
      </x:bottom>
    </x:border>
    <x:border diagonalUp="0" diagonalDown="0"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top style="thin">
        <x:color rgb="FFBFBFBF"/>
      </x:top>
      <x:bottom style="thin">
        <x:color rgb="FFBFBFBF"/>
      </x:bottom>
    </x:border>
    <x:border diagonalUp="0" diagonalDown="0"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</x:border>
    <x:border diagonalUp="0" diagonalDown="0">
      <x:left style="thin">
        <x:color rgb="FFBFBFBF"/>
      </x:left>
      <x:right style="thin">
        <x:color rgb="FFBFBFBF"/>
      </x:right>
    </x:border>
    <x:border diagonalUp="0" diagonalDown="0">
      <x:left style="thin">
        <x:color rgb="FFBFBFBF"/>
      </x:left>
      <x:right style="thin">
        <x:color rgb="FFBFBFBF"/>
      </x:right>
      <x:bottom style="thin">
        <x:color rgb="FFBFBFBF"/>
      </x:bottom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</x:border>
    <x:border diagonalUp="0" diagonalDown="0">
      <x:left style="thin">
        <x:color rgb="FFBFBFBF"/>
      </x:left>
      <x:right style="thin">
        <x:color rgb="FFBFBFBF"/>
      </x:right>
    </x:border>
    <x:border diagonalUp="0" diagonalDown="0">
      <x:left style="thin">
        <x:color rgb="FFBFBFBF"/>
      </x:left>
      <x:right style="thin">
        <x:color rgb="FFBFBFBF"/>
      </x:right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74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2" borderId="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9" fillId="0" borderId="1" xfId="0" applyFont="1" applyBorder="1" applyAlignment="1">
      <x:alignment horizontal="general" vertical="top" wrapText="1"/>
    </x:xf>
    <x:xf numFmtId="164" fontId="8" fillId="0" borderId="1" xfId="0" applyFont="1" applyBorder="1" applyAlignment="1">
      <x:alignment horizontal="general" vertical="top" wrapText="1"/>
    </x:xf>
    <x:xf numFmtId="165" fontId="10" fillId="0" borderId="1" xfId="0" applyFont="1" applyBorder="1" applyAlignment="1">
      <x:alignment horizontal="general" vertical="top" wrapText="1"/>
    </x:xf>
    <x:xf numFmtId="164" fontId="11" fillId="0" borderId="1" xfId="0" applyFont="1" applyBorder="1" applyAlignment="1">
      <x:alignment horizontal="general" vertical="top" wrapText="1"/>
    </x:xf>
    <x:xf numFmtId="164" fontId="12" fillId="0" borderId="0" xfId="0" applyFont="1" applyBorder="0" applyAlignment="0">
      <x:alignment horizontal="general" vertical="bottom" wrapText="0"/>
    </x:xf>
    <x:xf numFmtId="164" fontId="5" fillId="0" borderId="1" xfId="0" applyFont="1" applyBorder="1" applyAlignment="0">
      <x:alignment horizontal="general" vertical="bottom" wrapText="0"/>
    </x:xf>
    <x:xf numFmtId="164" fontId="5" fillId="0" borderId="1" xfId="0" applyFont="1" applyBorder="1" applyAlignment="1">
      <x:alignment horizontal="center" vertical="center" wrapText="1"/>
    </x:xf>
    <x:xf numFmtId="164" fontId="9" fillId="3" borderId="1" xfId="0" applyFont="1" applyBorder="1" applyAlignment="0">
      <x:alignment horizontal="general" vertical="bottom" wrapText="0"/>
    </x:xf>
    <x:xf numFmtId="166" fontId="9" fillId="3" borderId="1" xfId="0" applyFont="1" applyBorder="1" applyAlignment="1">
      <x:alignment horizontal="center" vertical="center" wrapText="1"/>
    </x:xf>
    <x:xf numFmtId="164" fontId="9" fillId="0" borderId="0" xfId="0" applyFont="1" applyBorder="0" applyAlignment="0">
      <x:alignment horizontal="general" vertical="bottom" wrapText="0"/>
    </x:xf>
    <x:xf numFmtId="164" fontId="8" fillId="0" borderId="1" xfId="0" applyFont="1" applyBorder="1" applyAlignment="0">
      <x:alignment horizontal="general" vertical="bottom" wrapText="0"/>
    </x:xf>
    <x:xf numFmtId="165" fontId="13" fillId="0" borderId="1" xfId="0" applyFont="1" applyBorder="1" applyAlignment="0">
      <x:alignment horizontal="general" vertical="bottom" wrapText="0"/>
    </x:xf>
    <x:xf numFmtId="165" fontId="9" fillId="3" borderId="1" xfId="0" applyFont="1" applyBorder="1" applyAlignment="0">
      <x:alignment horizontal="general" vertical="bottom" wrapText="0"/>
    </x:xf>
    <x:xf numFmtId="164" fontId="14" fillId="0" borderId="0" xfId="0" applyFont="1" applyBorder="0" applyAlignment="0">
      <x:alignment horizontal="general" vertical="bottom" wrapText="0"/>
    </x:xf>
    <x:xf numFmtId="165" fontId="13" fillId="0" borderId="0" xfId="0" applyFont="1" applyBorder="0" applyAlignment="0">
      <x:alignment horizontal="general" vertical="bottom" wrapText="0"/>
    </x:xf>
    <x:xf numFmtId="165" fontId="5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top" wrapText="1"/>
    </x:xf>
    <x:xf numFmtId="165" fontId="9" fillId="0" borderId="0" xfId="0" applyFont="1" applyBorder="0" applyAlignment="0">
      <x:alignment horizontal="general" vertical="bottom" wrapText="0"/>
    </x:xf>
    <x:xf numFmtId="167" fontId="13" fillId="0" borderId="1" xfId="0" applyFont="1" applyBorder="1" applyAlignment="0">
      <x:alignment horizontal="general" vertical="bottom" wrapText="0"/>
    </x:xf>
    <x:xf numFmtId="164" fontId="5" fillId="0" borderId="1" xfId="0" applyFont="1" applyBorder="1" applyAlignment="1">
      <x:alignment horizontal="general" vertical="top" wrapText="1"/>
    </x:xf>
    <x:xf numFmtId="165" fontId="10" fillId="0" borderId="1" xfId="0" applyFont="1" applyBorder="1" applyAlignment="0">
      <x:alignment horizontal="general" vertical="bottom" wrapText="0"/>
    </x:xf>
    <x:xf numFmtId="165" fontId="13" fillId="4" borderId="1" xfId="0" applyFont="1" applyBorder="1" applyAlignment="0">
      <x:alignment horizontal="general" vertical="bottom" wrapText="0"/>
    </x:xf>
    <x:xf numFmtId="164" fontId="15" fillId="0" borderId="0" xfId="0" applyFont="1" applyBorder="0" applyAlignment="0">
      <x:alignment horizontal="general" vertical="bottom" wrapText="0"/>
    </x:xf>
    <x:xf numFmtId="164" fontId="9" fillId="0" borderId="1" xfId="0" applyFont="1" applyBorder="1" applyAlignment="0">
      <x:alignment horizontal="general" vertical="bottom" wrapText="0"/>
    </x:xf>
    <x:xf numFmtId="165" fontId="5" fillId="0" borderId="1" xfId="0" applyFont="1" applyBorder="1" applyAlignment="0">
      <x:alignment horizontal="general" vertical="bottom" wrapText="0"/>
    </x:xf>
    <x:xf numFmtId="164" fontId="5" fillId="3" borderId="1" xfId="0" applyFont="1" applyBorder="1" applyAlignment="0">
      <x:alignment horizontal="general" vertical="bottom" wrapText="0"/>
    </x:xf>
    <x:xf numFmtId="165" fontId="5" fillId="3" borderId="1" xfId="0" applyFont="1" applyBorder="1" applyAlignment="0">
      <x:alignment horizontal="general" vertical="bottom" wrapText="0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5" fillId="0" borderId="2" xfId="0" applyNumberFormat="1" applyFont="1" applyFill="1" applyBorder="1" applyAlignment="1">
      <x:alignment horizontal="general" vertical="bottom" wrapText="0"/>
    </x:xf>
    <x:xf numFmtId="164" fontId="6" fillId="0" borderId="2" xfId="0" applyNumberFormat="1" applyFont="1" applyFill="1" applyBorder="1" applyAlignment="1">
      <x:alignment horizontal="general" vertical="bottom" wrapText="0"/>
    </x:xf>
    <x:xf numFmtId="164" fontId="7" fillId="2" borderId="3" xfId="0" applyNumberFormat="1" applyFont="1" applyFill="1" applyBorder="1" applyAlignment="1">
      <x:alignment horizontal="center" vertical="center" wrapText="1"/>
    </x:xf>
    <x:xf numFmtId="164" fontId="8" fillId="0" borderId="3" xfId="0" applyNumberFormat="1" applyFont="1" applyFill="1" applyBorder="1" applyAlignment="1">
      <x:alignment horizontal="center" vertical="center" wrapText="1"/>
    </x:xf>
    <x:xf numFmtId="164" fontId="9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5" fontId="10" fillId="0" borderId="3" xfId="0" applyNumberFormat="1" applyFont="1" applyFill="1" applyBorder="1" applyAlignment="1">
      <x:alignment horizontal="general" vertical="top" wrapText="1"/>
    </x:xf>
    <x:xf numFmtId="164" fontId="11" fillId="0" borderId="3" xfId="0" applyNumberFormat="1" applyFont="1" applyFill="1" applyBorder="1" applyAlignment="1">
      <x:alignment horizontal="general" vertical="top" wrapText="1"/>
    </x:xf>
    <x:xf numFmtId="164" fontId="12" fillId="0" borderId="2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center" vertical="center" wrapText="1"/>
    </x:xf>
    <x:xf numFmtId="164" fontId="9" fillId="3" borderId="3" xfId="0" applyNumberFormat="1" applyFont="1" applyFill="1" applyBorder="1" applyAlignment="1">
      <x:alignment horizontal="general" vertical="bottom" wrapText="0"/>
    </x:xf>
    <x:xf numFmtId="164" fontId="9" fillId="3" borderId="3" xfId="0" applyNumberFormat="1" applyFont="1" applyFill="1" applyBorder="1" applyAlignment="1">
      <x:alignment horizontal="center" vertical="center" wrapText="1"/>
    </x:xf>
    <x:xf numFmtId="164" fontId="9" fillId="0" borderId="2" xfId="0" applyNumberFormat="1" applyFont="1" applyFill="1" applyBorder="1" applyAlignment="1">
      <x:alignment horizontal="general" vertical="bottom" wrapText="0"/>
    </x:xf>
    <x:xf numFmtId="164" fontId="8" fillId="0" borderId="3" xfId="0" applyNumberFormat="1" applyFont="1" applyFill="1" applyBorder="1" applyAlignment="1">
      <x:alignment horizontal="general" vertical="bottom" wrapText="0"/>
    </x:xf>
    <x:xf numFmtId="165" fontId="13" fillId="0" borderId="3" xfId="0" applyNumberFormat="1" applyFont="1" applyFill="1" applyBorder="1" applyAlignment="1">
      <x:alignment horizontal="general" vertical="bottom" wrapText="0"/>
    </x:xf>
    <x:xf numFmtId="165" fontId="9" fillId="3" borderId="3" xfId="0" applyNumberFormat="1" applyFont="1" applyFill="1" applyBorder="1" applyAlignment="1">
      <x:alignment horizontal="general" vertical="bottom" wrapText="0"/>
    </x:xf>
    <x:xf numFmtId="164" fontId="14" fillId="0" borderId="2" xfId="0" applyNumberFormat="1" applyFont="1" applyFill="1" applyBorder="1" applyAlignment="1">
      <x:alignment horizontal="general" vertical="bottom" wrapText="0"/>
    </x:xf>
    <x:xf numFmtId="165" fontId="13" fillId="0" borderId="2" xfId="0" applyNumberFormat="1" applyFont="1" applyFill="1" applyBorder="1" applyAlignment="1">
      <x:alignment horizontal="general" vertical="bottom" wrapText="0"/>
    </x:xf>
    <x:xf numFmtId="165" fontId="5" fillId="0" borderId="2" xfId="0" applyNumberFormat="1" applyFont="1" applyFill="1" applyBorder="1" applyAlignment="1">
      <x:alignment horizontal="general" vertical="bottom" wrapText="0"/>
    </x:xf>
    <x:xf numFmtId="164" fontId="5" fillId="0" borderId="2" xfId="0" applyNumberFormat="1" applyFont="1" applyFill="1" applyBorder="1" applyAlignment="1">
      <x:alignment horizontal="general" vertical="top" wrapText="1"/>
    </x:xf>
    <x:xf numFmtId="165" fontId="9" fillId="0" borderId="2" xfId="0" applyNumberFormat="1" applyFont="1" applyFill="1" applyBorder="1" applyAlignment="1">
      <x:alignment horizontal="general" vertical="bottom" wrapText="0"/>
    </x:xf>
    <x:xf numFmtId="167" fontId="13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5" fontId="10" fillId="0" borderId="3" xfId="0" applyNumberFormat="1" applyFont="1" applyFill="1" applyBorder="1" applyAlignment="1">
      <x:alignment horizontal="general" vertical="bottom" wrapText="0"/>
    </x:xf>
    <x:xf numFmtId="165" fontId="13" fillId="4" borderId="3" xfId="0" applyNumberFormat="1" applyFont="1" applyFill="1" applyBorder="1" applyAlignment="1">
      <x:alignment horizontal="general" vertical="bottom" wrapText="0"/>
    </x:xf>
    <x:xf numFmtId="164" fontId="15" fillId="0" borderId="2" xfId="0" applyNumberFormat="1" applyFont="1" applyFill="1" applyBorder="1" applyAlignment="1">
      <x:alignment horizontal="general" vertical="bottom" wrapText="0"/>
    </x:xf>
    <x:xf numFmtId="164" fontId="9" fillId="0" borderId="3" xfId="0" applyNumberFormat="1" applyFont="1" applyFill="1" applyBorder="1" applyAlignment="1">
      <x:alignment horizontal="general" vertical="bottom" wrapText="0"/>
    </x:xf>
    <x:xf numFmtId="165" fontId="5" fillId="0" borderId="3" xfId="0" applyNumberFormat="1" applyFont="1" applyFill="1" applyBorder="1" applyAlignment="1">
      <x:alignment horizontal="general" vertical="bottom" wrapText="0"/>
    </x:xf>
    <x:xf numFmtId="164" fontId="5" fillId="3" borderId="3" xfId="0" applyNumberFormat="1" applyFont="1" applyFill="1" applyBorder="1" applyAlignment="1">
      <x:alignment horizontal="general" vertical="bottom" wrapText="0"/>
    </x:xf>
    <x:xf numFmtId="165" fontId="5" fillId="3" borderId="3" xfId="0" applyNumberFormat="1" applyFont="1" applyFill="1" applyBorder="1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0" fillId="5" borderId="2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0"/>
    </x:xf>
    <x:xf numFmtId="164" fontId="18" fillId="0" borderId="2" xfId="0" applyNumberFormat="1" applyFont="1" applyFill="1" applyBorder="1" applyAlignment="1">
      <x:alignment horizontal="general" vertical="bottom" wrapText="0"/>
    </x:xf>
    <x:xf numFmtId="164" fontId="5" fillId="5" borderId="0" xfId="0" applyNumberFormat="1" applyFont="1" applyFill="1" applyBorder="1" applyAlignment="1">
      <x:alignment horizontal="general" vertical="bottom" wrapText="0"/>
    </x:xf>
    <x:xf numFmtId="164" fontId="5" fillId="5" borderId="2" xfId="0" applyNumberFormat="1" applyFont="1" applyFill="1" applyBorder="1" applyAlignment="1">
      <x:alignment horizontal="general" vertical="bottom" wrapText="0"/>
    </x:xf>
    <x:xf numFmtId="164" fontId="5" fillId="5" borderId="1" xfId="0" applyNumberFormat="1" applyFont="1" applyFill="1" applyBorder="1" applyAlignment="1">
      <x:alignment horizontal="general" vertical="bottom" wrapText="0"/>
    </x:xf>
    <x:xf numFmtId="165" fontId="5" fillId="5" borderId="1" xfId="0" applyNumberFormat="1" applyFont="1" applyFill="1" applyBorder="1" applyAlignment="1">
      <x:alignment horizontal="general" vertical="bottom" wrapText="0"/>
    </x:xf>
    <x:xf numFmtId="164" fontId="5" fillId="5" borderId="3" xfId="0" applyNumberFormat="1" applyFont="1" applyFill="1" applyBorder="1" applyAlignment="1">
      <x:alignment horizontal="general" vertical="bottom" wrapText="0"/>
    </x:xf>
    <x:xf numFmtId="165" fontId="5" fillId="5" borderId="3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5" fillId="0" borderId="0" xfId="0" applyNumberFormat="1" applyFont="1" applyFill="1" applyBorder="1" applyAlignment="1">
      <x:alignment horizontal="general" vertical="bottom" wrapText="0"/>
    </x:xf>
    <x:xf numFmtId="164" fontId="5" fillId="0" borderId="4" xfId="0" applyNumberFormat="1" applyFont="1" applyFill="1" applyBorder="1" applyAlignment="1">
      <x:alignment horizontal="general" vertical="bottom" wrapText="0"/>
    </x:xf>
    <x:xf numFmtId="164" fontId="5" fillId="0" borderId="5" xfId="0" applyNumberFormat="1" applyFont="1" applyFill="1" applyBorder="1" applyAlignment="1">
      <x:alignment horizontal="general" vertical="bottom" wrapText="0"/>
    </x:xf>
    <x:xf numFmtId="164" fontId="5" fillId="0" borderId="6" xfId="0" applyNumberFormat="1" applyFont="1" applyFill="1" applyBorder="1" applyAlignment="1">
      <x:alignment horizontal="general" vertical="bottom" wrapText="0"/>
    </x:xf>
    <x:xf numFmtId="164" fontId="5" fillId="0" borderId="4" xfId="0" applyNumberFormat="1" applyFont="1" applyFill="1" applyBorder="1" applyAlignment="1">
      <x:alignment horizontal="general" vertical="bottom" wrapText="1"/>
    </x:xf>
    <x:xf numFmtId="164" fontId="5" fillId="0" borderId="5" xfId="0" applyNumberFormat="1" applyFont="1" applyFill="1" applyBorder="1" applyAlignment="1">
      <x:alignment horizontal="general" vertical="bottom" wrapText="1"/>
    </x:xf>
    <x:xf numFmtId="164" fontId="5" fillId="0" borderId="6" xfId="0" applyNumberFormat="1" applyFont="1" applyFill="1" applyBorder="1" applyAlignment="1">
      <x:alignment horizontal="general" vertical="bottom" wrapText="1"/>
    </x:xf>
    <x:xf numFmtId="164" fontId="5" fillId="0" borderId="7" xfId="0" applyNumberFormat="1" applyFont="1" applyFill="1" applyBorder="1" applyAlignment="1">
      <x:alignment horizontal="general" vertical="bottom" wrapText="0"/>
    </x:xf>
    <x:xf numFmtId="164" fontId="5" fillId="0" borderId="8" xfId="0" applyNumberFormat="1" applyFont="1" applyFill="1" applyBorder="1" applyAlignment="1">
      <x:alignment horizontal="general" vertical="bottom" wrapText="0"/>
    </x:xf>
    <x:xf numFmtId="164" fontId="5" fillId="0" borderId="9" xfId="0" applyNumberFormat="1" applyFont="1" applyFill="1" applyBorder="1" applyAlignment="1">
      <x:alignment horizontal="general" vertical="bottom" wrapText="0"/>
    </x:xf>
    <x:xf numFmtId="164" fontId="5" fillId="0" borderId="7" xfId="0" applyNumberFormat="1" applyFont="1" applyFill="1" applyBorder="1" applyAlignment="1">
      <x:alignment horizontal="general" vertical="bottom" wrapText="1"/>
    </x:xf>
    <x:xf numFmtId="164" fontId="5" fillId="0" borderId="8" xfId="0" applyNumberFormat="1" applyFont="1" applyFill="1" applyBorder="1" applyAlignment="1">
      <x:alignment horizontal="general" vertical="bottom" wrapText="1"/>
    </x:xf>
    <x:xf numFmtId="164" fontId="5" fillId="0" borderId="9" xfId="0" applyNumberFormat="1" applyFont="1" applyFill="1" applyBorder="1" applyAlignment="1">
      <x:alignment horizontal="general" vertical="bottom" wrapText="1"/>
    </x:xf>
    <x:xf numFmtId="164" fontId="5" fillId="0" borderId="4" xfId="0" applyNumberFormat="1" applyFont="1" applyFill="1" applyBorder="1" applyAlignment="1">
      <x:alignment horizontal="center" vertical="bottom" wrapText="1"/>
    </x:xf>
    <x:xf numFmtId="164" fontId="5" fillId="0" borderId="7" xfId="0" applyNumberFormat="1" applyFont="1" applyFill="1" applyBorder="1" applyAlignment="1">
      <x:alignment horizontal="center" vertical="bottom" wrapText="1"/>
    </x:xf>
    <x:xf numFmtId="164" fontId="19" fillId="0" borderId="5" xfId="0" applyNumberFormat="1" applyFont="1" applyFill="1" applyBorder="1" applyAlignment="1">
      <x:alignment horizontal="general" vertical="bottom" wrapText="1"/>
    </x:xf>
    <x:xf numFmtId="164" fontId="19" fillId="0" borderId="8" xfId="0" applyNumberFormat="1" applyFont="1" applyFill="1" applyBorder="1" applyAlignment="1">
      <x:alignment horizontal="general" vertical="bottom" wrapText="1"/>
    </x:xf>
    <x:xf numFmtId="200" fontId="5" fillId="0" borderId="5" xfId="0" applyNumberFormat="1" applyFont="1" applyFill="1" applyBorder="1" applyAlignment="1">
      <x:alignment horizontal="general" vertical="bottom" wrapText="1"/>
    </x:xf>
    <x:xf numFmtId="200" fontId="5" fillId="0" borderId="8" xfId="0" applyNumberFormat="1" applyFont="1" applyFill="1" applyBorder="1" applyAlignment="1">
      <x:alignment horizontal="general" vertical="bottom" wrapText="1"/>
    </x:xf>
    <x:xf numFmtId="200" fontId="10" fillId="0" borderId="5" xfId="0" applyNumberFormat="1" applyFont="1" applyFill="1" applyBorder="1" applyAlignment="1">
      <x:alignment horizontal="general" vertical="bottom" wrapText="1"/>
    </x:xf>
    <x:xf numFmtId="200" fontId="10" fillId="0" borderId="8" xfId="0" applyNumberFormat="1" applyFont="1" applyFill="1" applyBorder="1" applyAlignment="1">
      <x:alignment horizontal="general" vertical="bottom" wrapText="1"/>
    </x:xf>
    <x:xf numFmtId="164" fontId="11" fillId="0" borderId="6" xfId="0" applyNumberFormat="1" applyFont="1" applyFill="1" applyBorder="1" applyAlignment="1">
      <x:alignment horizontal="general" vertical="bottom" wrapText="1"/>
    </x:xf>
    <x:xf numFmtId="164" fontId="11" fillId="0" borderId="9" xfId="0" applyNumberFormat="1" applyFont="1" applyFill="1" applyBorder="1" applyAlignment="1">
      <x:alignment horizontal="general" vertical="bottom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7" fillId="6" borderId="0" xfId="0" applyNumberFormat="1" applyFont="1" applyFill="1" applyBorder="1" applyAlignment="1">
      <x:alignment horizontal="general" vertical="bottom" wrapText="0"/>
    </x:xf>
    <x:xf numFmtId="164" fontId="7" fillId="6" borderId="1" xfId="0" applyNumberFormat="1" applyFont="1" applyFill="1" applyBorder="1" applyAlignment="1">
      <x:alignment horizontal="general" vertical="bottom" wrapText="0"/>
    </x:xf>
    <x:xf numFmtId="164" fontId="7" fillId="6" borderId="1" xfId="0" applyNumberFormat="1" applyFont="1" applyFill="1" applyBorder="1" applyAlignment="1">
      <x:alignment horizontal="general" vertical="bottom" wrapText="1"/>
    </x:xf>
    <x:xf numFmtId="164" fontId="7" fillId="6" borderId="1" xfId="0" applyNumberFormat="1" applyFont="1" applyFill="1" applyBorder="1" applyAlignment="1">
      <x:alignment horizontal="center" vertical="bottom" wrapText="1"/>
    </x:xf>
    <x:xf numFmtId="164" fontId="0" fillId="6" borderId="2" xfId="0" applyNumberFormat="1" applyFont="1" applyFill="1" applyBorder="1" applyAlignment="1">
      <x:alignment horizontal="general" vertical="bottom" wrapText="0"/>
    </x:xf>
    <x:xf numFmtId="164" fontId="7" fillId="6" borderId="2" xfId="0" applyNumberFormat="1" applyFont="1" applyFill="1" applyBorder="1" applyAlignment="1">
      <x:alignment horizontal="general" vertical="bottom" wrapText="0"/>
    </x:xf>
    <x:xf numFmtId="164" fontId="7" fillId="6" borderId="3" xfId="0" applyNumberFormat="1" applyFont="1" applyFill="1" applyBorder="1" applyAlignment="1">
      <x:alignment horizontal="general" vertical="bottom" wrapText="0"/>
    </x:xf>
    <x:xf numFmtId="164" fontId="7" fillId="6" borderId="3" xfId="0" applyNumberFormat="1" applyFont="1" applyFill="1" applyBorder="1" applyAlignment="1">
      <x:alignment horizontal="general" vertical="bottom" wrapText="1"/>
    </x:xf>
    <x:xf numFmtId="164" fontId="7" fillId="6" borderId="3" xfId="0" applyNumberFormat="1" applyFont="1" applyFill="1" applyBorder="1" applyAlignment="1">
      <x:alignment horizontal="center" vertical="bottom" wrapText="1"/>
    </x:xf>
    <x:xf numFmtId="164" fontId="5" fillId="0" borderId="10" xfId="0" applyNumberFormat="1" applyFont="1" applyFill="1" applyBorder="1" applyAlignment="1">
      <x:alignment horizontal="general" vertical="bottom" wrapText="0"/>
    </x:xf>
    <x:xf numFmtId="164" fontId="5" fillId="0" borderId="11" xfId="0" applyNumberFormat="1" applyFont="1" applyFill="1" applyBorder="1" applyAlignment="1">
      <x:alignment horizontal="general" vertical="bottom" wrapText="0"/>
    </x:xf>
    <x:xf numFmtId="164" fontId="5" fillId="0" borderId="12" xfId="0" applyNumberFormat="1" applyFont="1" applyFill="1" applyBorder="1" applyAlignment="1">
      <x:alignment horizontal="general" vertical="bottom" wrapText="0"/>
    </x:xf>
    <x:xf numFmtId="164" fontId="5" fillId="0" borderId="10" xfId="0" applyNumberFormat="1" applyFont="1" applyFill="1" applyBorder="1" applyAlignment="1">
      <x:alignment horizontal="general" vertical="bottom" wrapText="1"/>
    </x:xf>
    <x:xf numFmtId="164" fontId="5" fillId="0" borderId="11" xfId="0" applyNumberFormat="1" applyFont="1" applyFill="1" applyBorder="1" applyAlignment="1">
      <x:alignment horizontal="general" vertical="bottom" wrapText="1"/>
    </x:xf>
    <x:xf numFmtId="164" fontId="5" fillId="0" borderId="12" xfId="0" applyNumberFormat="1" applyFont="1" applyFill="1" applyBorder="1" applyAlignment="1">
      <x:alignment horizontal="general" vertical="bottom" wrapText="1"/>
    </x:xf>
    <x:xf numFmtId="164" fontId="5" fillId="0" borderId="10" xfId="0" applyNumberFormat="1" applyFont="1" applyFill="1" applyBorder="1" applyAlignment="1">
      <x:alignment horizontal="center" vertical="bottom" wrapText="1"/>
    </x:xf>
    <x:xf numFmtId="164" fontId="5" fillId="0" borderId="11" xfId="0" applyNumberFormat="1" applyFont="1" applyFill="1" applyBorder="1" applyAlignment="1">
      <x:alignment horizontal="center" vertical="bottom" wrapText="1"/>
    </x:xf>
    <x:xf numFmtId="164" fontId="5" fillId="0" borderId="12" xfId="0" applyNumberFormat="1" applyFont="1" applyFill="1" applyBorder="1" applyAlignment="1">
      <x:alignment horizontal="center" vertical="bottom" wrapText="1"/>
    </x:xf>
    <x:xf numFmtId="164" fontId="5" fillId="0" borderId="13" xfId="0" applyNumberFormat="1" applyFont="1" applyFill="1" applyBorder="1" applyAlignment="1">
      <x:alignment horizontal="general" vertical="bottom" wrapText="0"/>
    </x:xf>
    <x:xf numFmtId="164" fontId="5" fillId="0" borderId="14" xfId="0" applyNumberFormat="1" applyFont="1" applyFill="1" applyBorder="1" applyAlignment="1">
      <x:alignment horizontal="general" vertical="bottom" wrapText="0"/>
    </x:xf>
    <x:xf numFmtId="164" fontId="5" fillId="0" borderId="15" xfId="0" applyNumberFormat="1" applyFont="1" applyFill="1" applyBorder="1" applyAlignment="1">
      <x:alignment horizontal="general" vertical="bottom" wrapText="0"/>
    </x:xf>
    <x:xf numFmtId="164" fontId="5" fillId="0" borderId="13" xfId="0" applyNumberFormat="1" applyFont="1" applyFill="1" applyBorder="1" applyAlignment="1">
      <x:alignment horizontal="general" vertical="bottom" wrapText="1"/>
    </x:xf>
    <x:xf numFmtId="164" fontId="5" fillId="0" borderId="14" xfId="0" applyNumberFormat="1" applyFont="1" applyFill="1" applyBorder="1" applyAlignment="1">
      <x:alignment horizontal="general" vertical="bottom" wrapText="1"/>
    </x:xf>
    <x:xf numFmtId="164" fontId="5" fillId="0" borderId="15" xfId="0" applyNumberFormat="1" applyFont="1" applyFill="1" applyBorder="1" applyAlignment="1">
      <x:alignment horizontal="general" vertical="bottom" wrapText="1"/>
    </x:xf>
    <x:xf numFmtId="164" fontId="5" fillId="0" borderId="13" xfId="0" applyNumberFormat="1" applyFont="1" applyFill="1" applyBorder="1" applyAlignment="1">
      <x:alignment horizontal="center" vertical="bottom" wrapText="1"/>
    </x:xf>
    <x:xf numFmtId="164" fontId="5" fillId="0" borderId="14" xfId="0" applyNumberFormat="1" applyFont="1" applyFill="1" applyBorder="1" applyAlignment="1">
      <x:alignment horizontal="center" vertical="bottom" wrapText="1"/>
    </x:xf>
    <x:xf numFmtId="164" fontId="5" fillId="0" borderId="15" xfId="0" applyNumberFormat="1" applyFont="1" applyFill="1" applyBorder="1" applyAlignment="1">
      <x:alignment horizontal="center" vertical="bottom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9" fillId="7" borderId="0" xfId="0" applyNumberFormat="1" applyFont="1" applyFill="1" applyBorder="1" applyAlignment="1">
      <x:alignment horizontal="general" vertical="bottom" wrapText="0"/>
    </x:xf>
    <x:xf numFmtId="164" fontId="19" fillId="7" borderId="1" xfId="0" applyNumberFormat="1" applyFont="1" applyFill="1" applyBorder="1" applyAlignment="1">
      <x:alignment horizontal="general" vertical="bottom" wrapText="0"/>
    </x:xf>
    <x:xf numFmtId="164" fontId="19" fillId="7" borderId="1" xfId="0" applyNumberFormat="1" applyFont="1" applyFill="1" applyBorder="1" applyAlignment="1">
      <x:alignment horizontal="general" vertical="bottom" wrapText="1"/>
    </x:xf>
    <x:xf numFmtId="164" fontId="19" fillId="7" borderId="1" xfId="0" applyNumberFormat="1" applyFont="1" applyFill="1" applyBorder="1" applyAlignment="1">
      <x:alignment horizontal="center" vertical="bottom" wrapText="1"/>
    </x:xf>
    <x:xf numFmtId="164" fontId="0" fillId="7" borderId="2" xfId="0" applyNumberFormat="1" applyFont="1" applyFill="1" applyBorder="1" applyAlignment="1">
      <x:alignment horizontal="general" vertical="bottom" wrapText="0"/>
    </x:xf>
    <x:xf numFmtId="164" fontId="19" fillId="7" borderId="2" xfId="0" applyNumberFormat="1" applyFont="1" applyFill="1" applyBorder="1" applyAlignment="1">
      <x:alignment horizontal="general" vertical="bottom" wrapText="0"/>
    </x:xf>
    <x:xf numFmtId="164" fontId="19" fillId="7" borderId="3" xfId="0" applyNumberFormat="1" applyFont="1" applyFill="1" applyBorder="1" applyAlignment="1">
      <x:alignment horizontal="general" vertical="bottom" wrapText="0"/>
    </x:xf>
    <x:xf numFmtId="164" fontId="19" fillId="7" borderId="3" xfId="0" applyNumberFormat="1" applyFont="1" applyFill="1" applyBorder="1" applyAlignment="1">
      <x:alignment horizontal="general" vertical="bottom" wrapText="1"/>
    </x:xf>
    <x:xf numFmtId="164" fontId="19" fillId="7" borderId="3" xfId="0" applyNumberFormat="1" applyFont="1" applyFill="1" applyBorder="1" applyAlignment="1">
      <x:alignment horizontal="center" vertical="bottom" wrapText="1"/>
    </x:xf>
    <x:xf numFmtId="164" fontId="19" fillId="0" borderId="0" xfId="0" applyNumberFormat="1" applyFont="1" applyFill="1" applyBorder="1" applyAlignment="1">
      <x:alignment horizontal="general" vertical="bottom" wrapText="0"/>
    </x:xf>
    <x:xf numFmtId="164" fontId="19" fillId="0" borderId="2" xfId="0" applyNumberFormat="1" applyFont="1" applyFill="1" applyBorder="1" applyAlignment="1">
      <x:alignment horizontal="general" vertical="bottom" wrapText="0"/>
    </x:xf>
    <x:xf numFmtId="164" fontId="7" fillId="6" borderId="4" xfId="0" applyNumberFormat="1" applyFont="1" applyFill="1" applyBorder="1" applyAlignment="1">
      <x:alignment horizontal="general" vertical="bottom" wrapText="0"/>
    </x:xf>
    <x:xf numFmtId="164" fontId="7" fillId="6" borderId="6" xfId="0" applyNumberFormat="1" applyFont="1" applyFill="1" applyBorder="1" applyAlignment="1">
      <x:alignment horizontal="general" vertical="bottom" wrapText="0"/>
    </x:xf>
    <x:xf numFmtId="164" fontId="7" fillId="6" borderId="4" xfId="0" applyNumberFormat="1" applyFont="1" applyFill="1" applyBorder="1" applyAlignment="1">
      <x:alignment horizontal="general" vertical="bottom" wrapText="1"/>
    </x:xf>
    <x:xf numFmtId="164" fontId="7" fillId="6" borderId="6" xfId="0" applyNumberFormat="1" applyFont="1" applyFill="1" applyBorder="1" applyAlignment="1">
      <x:alignment horizontal="general" vertical="bottom" wrapText="1"/>
    </x:xf>
    <x:xf numFmtId="164" fontId="7" fillId="6" borderId="4" xfId="0" applyNumberFormat="1" applyFont="1" applyFill="1" applyBorder="1" applyAlignment="1">
      <x:alignment horizontal="center" vertical="bottom" wrapText="1"/>
    </x:xf>
    <x:xf numFmtId="164" fontId="7" fillId="6" borderId="6" xfId="0" applyNumberFormat="1" applyFont="1" applyFill="1" applyBorder="1" applyAlignment="1">
      <x:alignment horizontal="center" vertical="bottom" wrapText="1"/>
    </x:xf>
    <x:xf numFmtId="164" fontId="7" fillId="6" borderId="7" xfId="0" applyNumberFormat="1" applyFont="1" applyFill="1" applyBorder="1" applyAlignment="1">
      <x:alignment horizontal="general" vertical="bottom" wrapText="0"/>
    </x:xf>
    <x:xf numFmtId="164" fontId="7" fillId="6" borderId="9" xfId="0" applyNumberFormat="1" applyFont="1" applyFill="1" applyBorder="1" applyAlignment="1">
      <x:alignment horizontal="general" vertical="bottom" wrapText="0"/>
    </x:xf>
    <x:xf numFmtId="164" fontId="7" fillId="6" borderId="7" xfId="0" applyNumberFormat="1" applyFont="1" applyFill="1" applyBorder="1" applyAlignment="1">
      <x:alignment horizontal="general" vertical="bottom" wrapText="1"/>
    </x:xf>
    <x:xf numFmtId="164" fontId="7" fillId="6" borderId="9" xfId="0" applyNumberFormat="1" applyFont="1" applyFill="1" applyBorder="1" applyAlignment="1">
      <x:alignment horizontal="general" vertical="bottom" wrapText="1"/>
    </x:xf>
    <x:xf numFmtId="164" fontId="7" fillId="6" borderId="7" xfId="0" applyNumberFormat="1" applyFont="1" applyFill="1" applyBorder="1" applyAlignment="1">
      <x:alignment horizontal="center" vertical="bottom" wrapText="1"/>
    </x:xf>
    <x:xf numFmtId="164" fontId="7" fillId="6" borderId="9" xfId="0" applyNumberFormat="1" applyFont="1" applyFill="1" applyBorder="1" applyAlignment="1">
      <x:alignment horizontal="center" vertical="bottom" wrapText="1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5" borderId="0" xfId="0" applyNumberFormat="1" applyFont="1" applyFill="1" applyBorder="1" applyAlignment="1">
      <x:alignment horizontal="general" vertical="bottom" wrapText="0"/>
    </x:xf>
    <x:xf numFmtId="200" fontId="13" fillId="0" borderId="0" xfId="0" applyNumberFormat="1" applyFont="1" applyFill="1" applyBorder="1" applyAlignment="1">
      <x:alignment horizontal="general" vertical="bottom" wrapText="0"/>
    </x:xf>
    <x:xf numFmtId="200" fontId="13" fillId="5" borderId="0" xfId="0" applyNumberFormat="1" applyFont="1" applyFill="1" applyBorder="1" applyAlignment="1">
      <x:alignment horizontal="general" vertical="bottom" wrapText="0"/>
    </x:xf>
    <x:xf numFmtId="164" fontId="13" fillId="0" borderId="2" xfId="0" applyNumberFormat="1" applyFont="1" applyFill="1" applyBorder="1" applyAlignment="1">
      <x:alignment horizontal="general" vertical="bottom" wrapText="0"/>
    </x:xf>
    <x:xf numFmtId="164" fontId="13" fillId="5" borderId="2" xfId="0" applyNumberFormat="1" applyFont="1" applyFill="1" applyBorder="1" applyAlignment="1">
      <x:alignment horizontal="general" vertical="bottom" wrapText="0"/>
    </x:xf>
    <x:xf numFmtId="200" fontId="13" fillId="0" borderId="2" xfId="0" applyNumberFormat="1" applyFont="1" applyFill="1" applyBorder="1" applyAlignment="1">
      <x:alignment horizontal="general" vertical="bottom" wrapText="0"/>
    </x:xf>
    <x:xf numFmtId="200" fontId="13" fillId="5" borderId="2" xfId="0" applyNumberFormat="1" applyFont="1" applyFill="1" applyBorder="1" applyAlignment="1">
      <x:alignment horizontal="general" vertical="bottom" wrapText="0"/>
    </x:xf>
    <x:xf numFmtId="200" fontId="13" borderId="0" xfId="0" applyNumberFormat="1" applyFont="1" applyFill="0" applyBorder="1" applyAlignment="1">
      <x:alignment horizontal="general" vertical="bottom" wrapText="0"/>
    </x:xf>
    <x:xf numFmtId="200" fontId="13" borderId="2" xfId="0" applyNumberFormat="1" applyFont="1" applyFill="0" applyBorder="1" applyAlignment="1">
      <x:alignment horizontal="general" vertical="bottom" wrapText="0"/>
    </x:xf>
    <x:xf numFmtId="164" fontId="5" fillId="8" borderId="0" xfId="0" applyNumberFormat="1" applyFont="1" applyFill="1" applyBorder="1" applyAlignment="1">
      <x:alignment horizontal="general" vertical="bottom" wrapText="0"/>
    </x:xf>
    <x:xf numFmtId="164" fontId="13" fillId="8" borderId="0" xfId="0" applyNumberFormat="1" applyFont="1" applyFill="1" applyBorder="1" applyAlignment="1">
      <x:alignment horizontal="general" vertical="bottom" wrapText="0"/>
    </x:xf>
    <x:xf numFmtId="200" fontId="13" fillId="8" borderId="0" xfId="0" applyNumberFormat="1" applyFont="1" applyFill="1" applyBorder="1" applyAlignment="1">
      <x:alignment horizontal="general" vertical="bottom" wrapText="0"/>
    </x:xf>
    <x:xf numFmtId="164" fontId="5" fillId="8" borderId="2" xfId="0" applyNumberFormat="1" applyFont="1" applyFill="1" applyBorder="1" applyAlignment="1">
      <x:alignment horizontal="general" vertical="bottom" wrapText="0"/>
    </x:xf>
    <x:xf numFmtId="164" fontId="13" fillId="8" borderId="2" xfId="0" applyNumberFormat="1" applyFont="1" applyFill="1" applyBorder="1" applyAlignment="1">
      <x:alignment horizontal="general" vertical="bottom" wrapText="0"/>
    </x:xf>
    <x:xf numFmtId="200" fontId="13" fillId="8" borderId="2" xfId="0" applyNumberFormat="1" applyFont="1" applyFill="1" applyBorder="1" applyAlignment="1">
      <x:alignment horizontal="general" vertical="bottom" wrapText="0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5" fillId="0" borderId="2" xfId="0" applyNumberFormat="1" applyFont="1" applyFill="1" applyBorder="1" applyAlignment="1">
      <x:alignment horizontal="general" vertical="bottom" wrapText="1"/>
    </x:xf>
    <x:xf numFmtId="164" fontId="9" fillId="3" borderId="1" xfId="0" applyNumberFormat="1" applyFont="1" applyFill="1" applyBorder="1" applyAlignment="1">
      <x:alignment horizontal="general" vertical="bottom" wrapText="0"/>
    </x:xf>
    <x:xf numFmtId="200" fontId="5" fillId="5" borderId="1" xfId="0" applyNumberFormat="1" applyFont="1" applyFill="1" applyBorder="1" applyAlignment="1">
      <x:alignment horizontal="general" vertical="bottom" wrapText="0"/>
    </x:xf>
    <x:xf numFmtId="200" fontId="5" fillId="5" borderId="3" xfId="0" applyNumberFormat="1" applyFont="1" applyFill="1" applyBorder="1" applyAlignment="1">
      <x:alignment horizontal="general" vertical="bottom" wrapText="0"/>
    </x:xf>
    <x:xf numFmtId="164" fontId="5" fillId="3" borderId="1" xfId="0" applyNumberFormat="1" applyFont="1" applyFill="1" applyBorder="1" applyAlignment="1">
      <x:alignment horizontal="general" vertical="bottom" wrapText="0"/>
    </x:xf>
    <x:xf numFmtId="164" fontId="5" fillId="3" borderId="1" xfId="0" applyNumberFormat="1" applyFont="1" applyFill="1" applyBorder="1" applyAlignment="1">
      <x:alignment horizontal="general" vertical="bottom" wrapText="1"/>
    </x:xf>
    <x:xf numFmtId="164" fontId="5" fillId="3" borderId="3" xfId="0" applyNumberFormat="1" applyFont="1" applyFill="1" applyBorder="1" applyAlignment="1">
      <x:alignment horizontal="general" vertical="bottom" wrapText="1"/>
    </x:xf>
    <x:xf numFmtId="164" fontId="6" fillId="7" borderId="0" xfId="0" applyNumberFormat="1" applyFont="1" applyFill="1" applyBorder="1" applyAlignment="1">
      <x:alignment horizontal="general" vertical="bottom" wrapText="0"/>
    </x:xf>
    <x:xf numFmtId="164" fontId="5" fillId="7" borderId="0" xfId="0" applyNumberFormat="1" applyFont="1" applyFill="1" applyBorder="1" applyAlignment="1">
      <x:alignment horizontal="general" vertical="bottom" wrapText="0"/>
    </x:xf>
    <x:xf numFmtId="164" fontId="6" fillId="7" borderId="2" xfId="0" applyNumberFormat="1" applyFont="1" applyFill="1" applyBorder="1" applyAlignment="1">
      <x:alignment horizontal="general" vertical="bottom" wrapText="0"/>
    </x:xf>
    <x:xf numFmtId="164" fontId="5" fillId="7" borderId="2" xfId="0" applyNumberFormat="1" applyFont="1" applyFill="1" applyBorder="1" applyAlignment="1">
      <x:alignment horizontal="general" vertical="bottom" wrapText="0"/>
    </x:xf>
    <x:xf numFmtId="164" fontId="20" fillId="7" borderId="0" xfId="0" applyNumberFormat="1" applyFont="1" applyFill="1" applyBorder="1" applyAlignment="1">
      <x:alignment horizontal="general" vertical="bottom" wrapText="0"/>
    </x:xf>
    <x:xf numFmtId="164" fontId="20" fillId="7" borderId="2" xfId="0" applyNumberFormat="1" applyFont="1" applyFill="1" applyBorder="1" applyAlignment="1">
      <x:alignment horizontal="general" vertical="bottom" wrapText="0"/>
    </x:xf>
    <x:xf numFmtId="200" fontId="5" fillId="7" borderId="0" xfId="0" applyNumberFormat="1" applyFont="1" applyFill="1" applyBorder="1" applyAlignment="1">
      <x:alignment horizontal="general" vertical="bottom" wrapText="0"/>
    </x:xf>
    <x:xf numFmtId="200" fontId="5" fillId="7" borderId="2" xfId="0" applyNumberFormat="1" applyFont="1" applyFill="1" applyBorder="1" applyAlignment="1">
      <x:alignment horizontal="general" vertical="bottom" wrapText="0"/>
    </x:xf>
    <x:xf numFmtId="164" fontId="21" fillId="0" borderId="0" xfId="0" applyNumberFormat="1" applyFont="1" applyFill="1" applyBorder="1" applyAlignment="1">
      <x:alignment horizontal="general" vertical="bottom" wrapText="0"/>
    </x:xf>
    <x:xf numFmtId="164" fontId="21" fillId="0" borderId="2" xfId="0" applyNumberFormat="1" applyFont="1" applyFill="1" applyBorder="1" applyAlignment="1">
      <x:alignment horizontal="general" vertical="bottom" wrapText="0"/>
    </x:xf>
    <x:xf numFmtId="164" fontId="5" fillId="0" borderId="4" xfId="0" applyNumberFormat="1" applyFont="1" applyFill="1" applyBorder="1" applyAlignment="1">
      <x:alignment horizontal="center" vertical="center" wrapText="1"/>
    </x:xf>
    <x:xf numFmtId="164" fontId="5" fillId="0" borderId="7" xfId="0" applyNumberFormat="1" applyFont="1" applyFill="1" applyBorder="1" applyAlignment="1">
      <x:alignment horizontal="center" vertical="center" wrapText="1"/>
    </x:xf>
    <x:xf numFmtId="164" fontId="19" fillId="0" borderId="5" xfId="0" applyNumberFormat="1" applyFont="1" applyFill="1" applyBorder="1" applyAlignment="1">
      <x:alignment horizontal="general" vertical="top" wrapText="1"/>
    </x:xf>
    <x:xf numFmtId="164" fontId="5" fillId="0" borderId="5" xfId="0" applyNumberFormat="1" applyFont="1" applyFill="1" applyBorder="1" applyAlignment="1">
      <x:alignment horizontal="general" vertical="top" wrapText="1"/>
    </x:xf>
    <x:xf numFmtId="200" fontId="10" fillId="0" borderId="5" xfId="0" applyNumberFormat="1" applyFont="1" applyFill="1" applyBorder="1" applyAlignment="1">
      <x:alignment horizontal="general" vertical="top" wrapText="1"/>
    </x:xf>
    <x:xf numFmtId="164" fontId="11" fillId="0" borderId="6" xfId="0" applyNumberFormat="1" applyFont="1" applyFill="1" applyBorder="1" applyAlignment="1">
      <x:alignment horizontal="general" vertical="top" wrapText="1"/>
    </x:xf>
    <x:xf numFmtId="164" fontId="19" fillId="0" borderId="8" xfId="0" applyNumberFormat="1" applyFont="1" applyFill="1" applyBorder="1" applyAlignment="1">
      <x:alignment horizontal="general" vertical="top" wrapText="1"/>
    </x:xf>
    <x:xf numFmtId="164" fontId="5" fillId="0" borderId="8" xfId="0" applyNumberFormat="1" applyFont="1" applyFill="1" applyBorder="1" applyAlignment="1">
      <x:alignment horizontal="general" vertical="top" wrapText="1"/>
    </x:xf>
    <x:xf numFmtId="200" fontId="10" fillId="0" borderId="8" xfId="0" applyNumberFormat="1" applyFont="1" applyFill="1" applyBorder="1" applyAlignment="1">
      <x:alignment horizontal="general" vertical="top" wrapText="1"/>
    </x:xf>
    <x:xf numFmtId="164" fontId="11" fillId="0" borderId="9" xfId="0" applyNumberFormat="1" applyFont="1" applyFill="1" applyBorder="1" applyAlignment="1">
      <x:alignment horizontal="general" vertical="top" wrapText="1"/>
    </x:xf>
    <x:xf numFmtId="164" fontId="7" fillId="6" borderId="5" xfId="0" applyNumberFormat="1" applyFont="1" applyFill="1" applyBorder="1" applyAlignment="1">
      <x:alignment horizontal="general" vertical="bottom" wrapText="0"/>
    </x:xf>
    <x:xf numFmtId="164" fontId="7" fillId="6" borderId="5" xfId="0" applyNumberFormat="1" applyFont="1" applyFill="1" applyBorder="1" applyAlignment="1">
      <x:alignment horizontal="general" vertical="bottom" wrapText="1"/>
    </x:xf>
    <x:xf numFmtId="164" fontId="7" fillId="6" borderId="5" xfId="0" applyNumberFormat="1" applyFont="1" applyFill="1" applyBorder="1" applyAlignment="1">
      <x:alignment horizontal="center" vertical="bottom" wrapText="1"/>
    </x:xf>
    <x:xf numFmtId="164" fontId="7" fillId="6" borderId="8" xfId="0" applyNumberFormat="1" applyFont="1" applyFill="1" applyBorder="1" applyAlignment="1">
      <x:alignment horizontal="general" vertical="bottom" wrapText="0"/>
    </x:xf>
    <x:xf numFmtId="164" fontId="7" fillId="6" borderId="8" xfId="0" applyNumberFormat="1" applyFont="1" applyFill="1" applyBorder="1" applyAlignment="1">
      <x:alignment horizontal="general" vertical="bottom" wrapText="1"/>
    </x:xf>
    <x:xf numFmtId="164" fontId="7" fillId="6" borderId="8" xfId="0" applyNumberFormat="1" applyFont="1" applyFill="1" applyBorder="1" applyAlignment="1">
      <x:alignment horizontal="center" vertical="bottom" wrapText="1"/>
    </x:xf>
    <x:xf numFmtId="164" fontId="13" fillId="0" borderId="1" xfId="0" applyNumberFormat="1" applyFont="1" applyFill="1" applyBorder="1" applyAlignment="1">
      <x:alignment horizontal="general" vertical="bottom" wrapText="0"/>
    </x:xf>
    <x:xf numFmtId="200" fontId="13" fillId="0" borderId="1" xfId="0" applyNumberFormat="1" applyFont="1" applyFill="1" applyBorder="1" applyAlignment="1">
      <x:alignment horizontal="general" vertical="bottom" wrapText="0"/>
    </x:xf>
    <x:xf numFmtId="164" fontId="13" fillId="0" borderId="3" xfId="0" applyNumberFormat="1" applyFont="1" applyFill="1" applyBorder="1" applyAlignment="1">
      <x:alignment horizontal="general" vertical="bottom" wrapText="0"/>
    </x:xf>
    <x:xf numFmtId="200" fontId="13" fillId="0" borderId="3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3" fillId="8" borderId="1" xfId="0" applyNumberFormat="1" applyFont="1" applyFill="1" applyBorder="1" applyAlignment="1">
      <x:alignment horizontal="general" vertical="bottom" wrapText="0"/>
    </x:xf>
    <x:xf numFmtId="200" fontId="13" fillId="8" borderId="1" xfId="0" applyNumberFormat="1" applyFont="1" applyFill="1" applyBorder="1" applyAlignment="1">
      <x:alignment horizontal="general" vertical="bottom" wrapText="0"/>
    </x:xf>
    <x:xf numFmtId="164" fontId="0" fillId="8" borderId="2" xfId="0" applyNumberFormat="1" applyFont="1" applyFill="1" applyBorder="1" applyAlignment="1">
      <x:alignment horizontal="general" vertical="bottom" wrapText="0"/>
    </x:xf>
    <x:xf numFmtId="164" fontId="13" fillId="8" borderId="3" xfId="0" applyNumberFormat="1" applyFont="1" applyFill="1" applyBorder="1" applyAlignment="1">
      <x:alignment horizontal="general" vertical="bottom" wrapText="0"/>
    </x:xf>
    <x:xf numFmtId="200" fontId="13" fillId="8" borderId="3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7" fillId="2" borderId="1" xfId="0" applyNumberFormat="1" applyFont="1" applyFill="1" applyBorder="1" applyAlignment="1">
      <x:alignment horizontal="center" vertical="center" wrapText="1"/>
    </x:xf>
    <x:xf numFmtId="164" fontId="8" fillId="0" borderId="1" xfId="0" applyNumberFormat="1" applyFont="1" applyFill="1" applyBorder="1" applyAlignment="1">
      <x:alignment horizontal="center" vertical="center" wrapText="1"/>
    </x:xf>
    <x:xf numFmtId="164" fontId="9" fillId="0" borderId="1" xfId="0" applyNumberFormat="1" applyFont="1" applyFill="1" applyBorder="1" applyAlignment="1">
      <x:alignment horizontal="general" vertical="top" wrapText="1"/>
    </x:xf>
    <x:xf numFmtId="164" fontId="8" fillId="0" borderId="1" xfId="0" applyNumberFormat="1" applyFont="1" applyFill="1" applyBorder="1" applyAlignment="1">
      <x:alignment horizontal="general" vertical="top" wrapText="1"/>
    </x:xf>
    <x:xf numFmtId="165" fontId="10" fillId="0" borderId="1" xfId="0" applyNumberFormat="1" applyFont="1" applyFill="1" applyBorder="1" applyAlignment="1">
      <x:alignment horizontal="general" vertical="top" wrapText="1"/>
    </x:xf>
    <x:xf numFmtId="164" fontId="11" fillId="0" borderId="1" xfId="0" applyNumberFormat="1" applyFont="1" applyFill="1" applyBorder="1" applyAlignment="1">
      <x:alignment horizontal="general" vertical="top" wrapText="1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5" fillId="0" borderId="1" xfId="0" applyNumberFormat="1" applyFont="1" applyFill="1" applyBorder="1" applyAlignment="1">
      <x:alignment horizontal="general" vertical="bottom" wrapText="0"/>
    </x:xf>
    <x:xf numFmtId="164" fontId="5" fillId="0" borderId="1" xfId="0" applyNumberFormat="1" applyFont="1" applyFill="1" applyBorder="1" applyAlignment="1">
      <x:alignment horizontal="center" vertical="center" wrapText="1"/>
    </x:xf>
    <x:xf numFmtId="164" fontId="9" fillId="3" borderId="1" xfId="0" applyNumberFormat="1" applyFont="1" applyFill="1" applyBorder="1" applyAlignment="1">
      <x:alignment horizontal="center" vertical="center" wrapText="1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8" fillId="0" borderId="1" xfId="0" applyNumberFormat="1" applyFont="1" applyFill="1" applyBorder="1" applyAlignment="1">
      <x:alignment horizontal="general" vertical="bottom" wrapText="0"/>
    </x:xf>
    <x:xf numFmtId="165" fontId="13" fillId="0" borderId="1" xfId="0" applyNumberFormat="1" applyFont="1" applyFill="1" applyBorder="1" applyAlignment="1">
      <x:alignment horizontal="general" vertical="bottom" wrapText="0"/>
    </x:xf>
    <x:xf numFmtId="165" fontId="9" fillId="3" borderId="1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5" fontId="13" fillId="0" borderId="0" xfId="0" applyNumberFormat="1" applyFont="1" applyFill="1" applyBorder="1" applyAlignment="1">
      <x:alignment horizontal="general" vertical="bottom" wrapText="0"/>
    </x:xf>
    <x:xf numFmtId="165" fontId="5" fillId="0" borderId="0" xfId="0" applyNumberFormat="1" applyFont="1" applyFill="1" applyBorder="1" applyAlignment="1">
      <x:alignment horizontal="general" vertical="bottom" wrapText="0"/>
    </x:xf>
    <x:xf numFmtId="164" fontId="5" fillId="0" borderId="0" xfId="0" applyNumberFormat="1" applyFont="1" applyFill="1" applyBorder="1" applyAlignment="1">
      <x:alignment horizontal="general" vertical="top" wrapText="1"/>
    </x:xf>
    <x:xf numFmtId="165" fontId="9" fillId="0" borderId="0" xfId="0" applyNumberFormat="1" applyFont="1" applyFill="1" applyBorder="1" applyAlignment="1">
      <x:alignment horizontal="general" vertical="bottom" wrapText="0"/>
    </x:xf>
    <x:xf numFmtId="167" fontId="13" fillId="0" borderId="1" xfId="0" applyNumberFormat="1" applyFont="1" applyFill="1" applyBorder="1" applyAlignment="1">
      <x:alignment horizontal="general" vertical="bottom" wrapText="0"/>
    </x:xf>
    <x:xf numFmtId="164" fontId="5" fillId="0" borderId="1" xfId="0" applyNumberFormat="1" applyFont="1" applyFill="1" applyBorder="1" applyAlignment="1">
      <x:alignment horizontal="general" vertical="top" wrapText="1"/>
    </x:xf>
    <x:xf numFmtId="165" fontId="10" fillId="0" borderId="1" xfId="0" applyNumberFormat="1" applyFont="1" applyFill="1" applyBorder="1" applyAlignment="1">
      <x:alignment horizontal="general" vertical="bottom" wrapText="0"/>
    </x:xf>
    <x:xf numFmtId="165" fontId="13" fillId="4" borderId="1" xfId="0" applyNumberFormat="1" applyFont="1" applyFill="1" applyBorder="1" applyAlignment="1">
      <x:alignment horizontal="general" vertical="bottom" wrapText="0"/>
    </x:xf>
    <x:xf numFmtId="164" fontId="15" fillId="0" borderId="0" xfId="0" applyNumberFormat="1" applyFont="1" applyFill="1" applyBorder="1" applyAlignment="1">
      <x:alignment horizontal="general" vertical="bottom" wrapText="0"/>
    </x:xf>
    <x:xf numFmtId="164" fontId="9" fillId="0" borderId="1" xfId="0" applyNumberFormat="1" applyFont="1" applyFill="1" applyBorder="1" applyAlignment="1">
      <x:alignment horizontal="general" vertical="bottom" wrapText="0"/>
    </x:xf>
    <x:xf numFmtId="165" fontId="5" fillId="0" borderId="1" xfId="0" applyNumberFormat="1" applyFont="1" applyFill="1" applyBorder="1" applyAlignment="1">
      <x:alignment horizontal="general" vertical="bottom" wrapText="0"/>
    </x:xf>
    <x:xf numFmtId="165" fontId="5" fillId="3" borderId="1" xfId="0" applyNumberFormat="1" applyFont="1" applyFill="1" applyBorder="1" applyAlignment="1">
      <x:alignment horizontal="general" vertical="bottom" wrapText="0"/>
    </x:xf>
    <x:xf numFmtId="164" fontId="0" fillId="2" borderId="0" xfId="0" applyNumberFormat="1" applyFont="1" applyFill="1" applyBorder="1" applyAlignment="1">
      <x:alignment horizontal="general" vertical="bottom" wrapText="0"/>
    </x:xf>
    <x:xf numFmtId="164" fontId="7" fillId="2" borderId="0" xfId="0" applyNumberFormat="1" applyFont="1" applyFill="1" applyBorder="1" applyAlignment="1">
      <x:alignment horizontal="general" vertical="bottom" wrapText="0"/>
    </x:xf>
    <x:xf numFmtId="164" fontId="7" fillId="2" borderId="1" xfId="0" applyNumberFormat="1" applyFont="1" applyFill="1" applyBorder="1" applyAlignment="1">
      <x:alignment horizontal="general" vertical="bottom" wrapText="0"/>
    </x:xf>
    <x:xf numFmtId="164" fontId="7" fillId="2" borderId="1" xfId="0" applyNumberFormat="1" applyFont="1" applyFill="1" applyBorder="1" applyAlignment="1">
      <x:alignment horizontal="general" vertical="bottom" wrapText="1"/>
    </x:xf>
    <x:xf numFmtId="164" fontId="7" fillId="2" borderId="1" xfId="0" applyNumberFormat="1" applyFont="1" applyFill="1" applyBorder="1" applyAlignment="1">
      <x:alignment horizontal="center" vertical="bottom" wrapText="1"/>
    </x:xf>
    <x:xf numFmtId="164" fontId="0" fillId="3" borderId="0" xfId="0" applyNumberFormat="1" applyFont="1" applyFill="1" applyBorder="1" applyAlignment="1">
      <x:alignment horizontal="general" vertical="bottom" wrapText="0"/>
    </x:xf>
    <x:xf numFmtId="164" fontId="19" fillId="3" borderId="0" xfId="0" applyNumberFormat="1" applyFont="1" applyFill="1" applyBorder="1" applyAlignment="1">
      <x:alignment horizontal="general" vertical="bottom" wrapText="0"/>
    </x:xf>
    <x:xf numFmtId="164" fontId="19" fillId="3" borderId="1" xfId="0" applyNumberFormat="1" applyFont="1" applyFill="1" applyBorder="1" applyAlignment="1">
      <x:alignment horizontal="general" vertical="bottom" wrapText="0"/>
    </x:xf>
    <x:xf numFmtId="164" fontId="19" fillId="3" borderId="1" xfId="0" applyNumberFormat="1" applyFont="1" applyFill="1" applyBorder="1" applyAlignment="1">
      <x:alignment horizontal="general" vertical="bottom" wrapText="1"/>
    </x:xf>
    <x:xf numFmtId="164" fontId="19" fillId="3" borderId="1" xfId="0" applyNumberFormat="1" applyFont="1" applyFill="1" applyBorder="1" applyAlignment="1">
      <x:alignment horizontal="center" vertical="bottom" wrapText="1"/>
    </x:xf>
    <x:xf numFmtId="164" fontId="7" fillId="2" borderId="4" xfId="0" applyNumberFormat="1" applyFont="1" applyFill="1" applyBorder="1" applyAlignment="1">
      <x:alignment horizontal="general" vertical="bottom" wrapText="0"/>
    </x:xf>
    <x:xf numFmtId="164" fontId="7" fillId="2" borderId="6" xfId="0" applyNumberFormat="1" applyFont="1" applyFill="1" applyBorder="1" applyAlignment="1">
      <x:alignment horizontal="general" vertical="bottom" wrapText="0"/>
    </x:xf>
    <x:xf numFmtId="164" fontId="7" fillId="2" borderId="4" xfId="0" applyNumberFormat="1" applyFont="1" applyFill="1" applyBorder="1" applyAlignment="1">
      <x:alignment horizontal="general" vertical="bottom" wrapText="1"/>
    </x:xf>
    <x:xf numFmtId="164" fontId="7" fillId="2" borderId="6" xfId="0" applyNumberFormat="1" applyFont="1" applyFill="1" applyBorder="1" applyAlignment="1">
      <x:alignment horizontal="general" vertical="bottom" wrapText="1"/>
    </x:xf>
    <x:xf numFmtId="164" fontId="7" fillId="2" borderId="4" xfId="0" applyNumberFormat="1" applyFont="1" applyFill="1" applyBorder="1" applyAlignment="1">
      <x:alignment horizontal="center" vertical="bottom" wrapText="1"/>
    </x:xf>
    <x:xf numFmtId="164" fontId="7" fillId="2" borderId="6" xfId="0" applyNumberFormat="1" applyFont="1" applyFill="1" applyBorder="1" applyAlignment="1">
      <x:alignment horizontal="center" vertical="bottom" wrapText="1"/>
    </x:xf>
    <x:xf numFmtId="164" fontId="5" fillId="4" borderId="0" xfId="0" applyNumberFormat="1" applyFont="1" applyFill="1" applyBorder="1" applyAlignment="1">
      <x:alignment horizontal="general" vertical="bottom" wrapText="0"/>
    </x:xf>
    <x:xf numFmtId="164" fontId="13" fillId="4" borderId="0" xfId="0" applyNumberFormat="1" applyFont="1" applyFill="1" applyBorder="1" applyAlignment="1">
      <x:alignment horizontal="general" vertical="bottom" wrapText="0"/>
    </x:xf>
    <x:xf numFmtId="200" fontId="13" fillId="4" borderId="0" xfId="0" applyNumberFormat="1" applyFont="1" applyFill="1" applyBorder="1" applyAlignment="1">
      <x:alignment horizontal="general" vertical="bottom" wrapText="0"/>
    </x:xf>
    <x:xf numFmtId="164" fontId="6" fillId="3" borderId="0" xfId="0" applyNumberFormat="1" applyFont="1" applyFill="1" applyBorder="1" applyAlignment="1">
      <x:alignment horizontal="general" vertical="bottom" wrapText="0"/>
    </x:xf>
    <x:xf numFmtId="164" fontId="5" fillId="3" borderId="0" xfId="0" applyNumberFormat="1" applyFont="1" applyFill="1" applyBorder="1" applyAlignment="1">
      <x:alignment horizontal="general" vertical="bottom" wrapText="0"/>
    </x:xf>
    <x:xf numFmtId="164" fontId="20" fillId="3" borderId="0" xfId="0" applyNumberFormat="1" applyFont="1" applyFill="1" applyBorder="1" applyAlignment="1">
      <x:alignment horizontal="general" vertical="bottom" wrapText="0"/>
    </x:xf>
    <x:xf numFmtId="200" fontId="5" fillId="3" borderId="0" xfId="0" applyNumberFormat="1" applyFont="1" applyFill="1" applyBorder="1" applyAlignment="1">
      <x:alignment horizontal="general" vertical="bottom" wrapText="0"/>
    </x:xf>
    <x:xf numFmtId="164" fontId="7" fillId="2" borderId="5" xfId="0" applyNumberFormat="1" applyFont="1" applyFill="1" applyBorder="1" applyAlignment="1">
      <x:alignment horizontal="general" vertical="bottom" wrapText="0"/>
    </x:xf>
    <x:xf numFmtId="164" fontId="7" fillId="2" borderId="5" xfId="0" applyNumberFormat="1" applyFont="1" applyFill="1" applyBorder="1" applyAlignment="1">
      <x:alignment horizontal="general" vertical="bottom" wrapText="1"/>
    </x:xf>
    <x:xf numFmtId="164" fontId="7" fillId="2" borderId="5" xfId="0" applyNumberFormat="1" applyFont="1" applyFill="1" applyBorder="1" applyAlignment="1">
      <x:alignment horizontal="center" vertical="bottom" wrapText="1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13" fillId="4" borderId="1" xfId="0" applyNumberFormat="1" applyFont="1" applyFill="1" applyBorder="1" applyAlignment="1">
      <x:alignment horizontal="general" vertical="bottom" wrapText="0"/>
    </x:xf>
    <x:xf numFmtId="200" fontId="13" fillId="4" borderId="1" xfId="0" applyNumberFormat="1" applyFont="1" applyFill="1" applyBorder="1" applyAlignment="1">
      <x:alignment horizontal="general" vertical="bottom" wrapText="0"/>
    </x:xf>
    <x:xf numFmtId="201" fontId="5" fillId="5" borderId="1" xfId="0" applyNumberFormat="1" applyFont="1" applyFill="1" applyBorder="1" applyAlignment="1">
      <x:alignment horizontal="general" vertical="bottom" wrapText="0"/>
    </x:xf>
    <x:xf numFmtId="201" fontId="13" fillId="4" borderId="1" xfId="0" applyNumberFormat="1" applyFont="1" applyFill="1" applyBorder="1" applyAlignment="1">
      <x:alignment horizontal="general" vertical="bottom" wrapText="0"/>
    </x:xf>
    <x:xf numFmtId="201" fontId="13" borderId="0" xfId="0" applyNumberFormat="1" applyFont="1" applyFill="0" applyBorder="1" applyAlignment="1">
      <x:alignment horizontal="general" vertical="bottom" wrapText="0"/>
    </x:xf>
    <x:xf numFmtId="201" fontId="10" fillId="0" borderId="5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ill>
        <x:patternFill>
          <x:bgColor rgb="FFC6EFCE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EDEDED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78787"/>
      <x:rgbColor rgb="FF9999FF"/>
      <x:rgbColor rgb="FF993366"/>
      <x:rgbColor rgb="FFF9F9F9"/>
      <x:rgbColor rgb="FFF2F2F2"/>
      <x:rgbColor rgb="FF660066"/>
      <x:rgbColor rgb="FFFF8080"/>
      <x:rgbColor rgb="FF0563C1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DEDED"/>
      <x:rgbColor rgb="FFC6EFCE"/>
      <x:rgbColor rgb="FFFFEB9C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4F81BD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1067275674da3" /><Relationship Type="http://schemas.openxmlformats.org/officeDocument/2006/relationships/theme" Target="/xl/theme/theme1.xml" Id="R0d65e3b9e5c24c9b" /><Relationship Type="http://schemas.openxmlformats.org/officeDocument/2006/relationships/sharedStrings" Target="/xl/sharedStrings.xml" Id="R3f4a9969a1a14958" /><Relationship Type="http://schemas.openxmlformats.org/officeDocument/2006/relationships/worksheet" Target="/xl/worksheets/sheet1.xml" Id="R7ef7c31368584f04" /><Relationship Type="http://schemas.openxmlformats.org/officeDocument/2006/relationships/worksheet" Target="/xl/worksheets/sheet2.xml" Id="R53fdad9ffb6547b1" /><Relationship Type="http://schemas.openxmlformats.org/officeDocument/2006/relationships/worksheet" Target="/xl/worksheets/sheet3.xml" Id="Ra53df0e4f6db45e3" /><Relationship Type="http://schemas.openxmlformats.org/officeDocument/2006/relationships/worksheet" Target="/xl/worksheets/sheet4.xml" Id="Rbeb4acfc7e3a43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bd3624eb4d4a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Custo total no horizonte (R$)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Custos!D23</c:f>
              <c:strCache>
                <c:ptCount val="1"/>
                <c:pt idx="0">
                  <c:v>Custo total no horizonte (R$)</c:v>
                </c:pt>
              </c:strCache>
            </c:strRef>
          </c:tx>
          <c: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Custos!$A$24:$A$29</c:f>
              <c:strCache>
                <c:ptCount val="6"/>
                <c:pt idx="0">
                  <c:v>Portal Telemedicina</c:v>
                </c:pt>
                <c:pt idx="1">
                  <c:v>Conexa Saúde</c:v>
                </c:pt>
                <c:pt idx="2">
                  <c:v>Jitsi Meet (self-hosted)</c:v>
                </c:pt>
                <c:pt idx="3">
                  <c:v>iClinic (Teleconsulta)</c:v>
                </c:pt>
                <c:pt idx="4">
                  <c:v>Plataforma + Cabine – Pref. Ipatinga/MG</c:v>
                </c:pt>
                <c:pt idx="5">
                  <c:v>Plataforma + Kit Básico – Pref. Uberlândia/MG</c:v>
                </c:pt>
              </c:strCache>
            </c:strRef>
          </c:cat>
          <c:val>
            <c:numRef>
              <c:f>Custos!$D$24:$D$29</c:f>
              <c:numCache>
                <c:formatCode>"R$ "#,##0.00;"(R$ "#,##0.00\);\-</c:formatCode>
                <c:ptCount val="6"/>
                <c:pt idx="0">
                  <c:v>95100</c:v>
                </c:pt>
                <c:pt idx="1">
                  <c:v>55179</c:v>
                </c:pt>
                <c:pt idx="2">
                  <c:v>7340</c:v>
                </c:pt>
                <c:pt idx="3">
                  <c:v>10928</c:v>
                </c:pt>
                <c:pt idx="4">
                  <c:v>61433.3</c:v>
                </c:pt>
                <c:pt idx="5">
                  <c:v>54428.91</c:v>
                </c:pt>
              </c:numCache>
            </c:numRef>
          </c:val>
        </c:ser>
        <c:gapWidth val="150"/>
        <c:overlap val="0"/>
        <c:axId val="69882850"/>
        <c:axId val="47370170"/>
      </c:barChart>
      <c:catAx>
        <c:axId val="6988285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7370170"/>
        <c:crosses val="autoZero"/>
        <c:lblAlgn val="ctr"/>
        <c:lblOffset val="100"/>
        <c:noMultiLvlLbl val="0"/>
      </c:catAx>
      <c:valAx>
        <c:axId val="47370170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69882850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199440</xdr:rowOff>
    </xdr:from>
    <xdr:to>
      <xdr:col>3</xdr:col>
      <xdr:colOff>1294200</xdr:colOff>
      <xdr:row>26</xdr:row>
      <xdr:rowOff>161280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bd3624eb4d4a4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portaltelemedicina.com.br/" TargetMode="External" Id="R1131cf2d32d84c24" /><Relationship Type="http://schemas.openxmlformats.org/officeDocument/2006/relationships/hyperlink" Target="https://www.conexasaude.com.br/" TargetMode="External" Id="Rab974ff9c8b74236" /><Relationship Type="http://schemas.openxmlformats.org/officeDocument/2006/relationships/hyperlink" Target="https://jitsi.org/jitsi-meet/" TargetMode="External" Id="Rc41894291d73470e" /><Relationship Type="http://schemas.openxmlformats.org/officeDocument/2006/relationships/hyperlink" Target="https://iclinic.com.br/funcionalidades/teleconsulta/" TargetMode="External" Id="R2d0e4dab74d040cc" /><Relationship Type="http://schemas.openxmlformats.org/officeDocument/2006/relationships/hyperlink" Target="https://app.licitardigital.com.br/pesquisa/?idE=a420c63665fc235187d5f228d1cfa17b" TargetMode="External" Id="R2a5e9c0da874448f" /><Relationship Type="http://schemas.openxmlformats.org/officeDocument/2006/relationships/hyperlink" Target="https://weblicitacoes.uberlandia.mg.gov.br/weblicitacoes/f/n/licitacoesdetalhescon?codigoEmpresa=1&amp;evento=y&amp;licitacao=PE+342%2F2026&amp;modoJanelaPlc=popup" TargetMode="External" Id="Rabce86af98414b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73d028b40314ad1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5" hidden="0" customWidth="1"/>
    <x:col min="2" max="2" width="24" hidden="0" customWidth="1"/>
    <x:col min="3" max="3" width="22" hidden="0" customWidth="1"/>
    <x:col min="4" max="4" width="20" hidden="0" customWidth="1"/>
    <x:col min="5" max="5" width="28" hidden="0" customWidth="1"/>
    <x:col min="6" max="8" width="17" hidden="0" customWidth="1"/>
    <x:col min="9" max="10" width="48" hidden="0" customWidth="1"/>
    <x:col min="11" max="12" width="16" hidden="0" customWidth="1"/>
    <x:col min="13" max="13" width="34" hidden="0" customWidth="1"/>
    <x:col min="14" max="14" width="36" hidden="0" customWidth="1"/>
    <x:col min="15" max="15" width="13" hidden="0" customWidth="1"/>
  </x:cols>
  <x:sheetData>
    <x:row r="1" ht="17.350000381469727" hidden="0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15" hidden="0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6.850000381469727" hidden="0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</x:row>
    <x:row r="5" ht="120" hidden="0" customHeight="1">
      <x:c r="A5" s="5" t="n">
        <x:v>1</x:v>
      </x:c>
      <x:c r="B5" s="6" t="s">
        <x:v>17</x:v>
      </x:c>
      <x:c r="C5" s="7" t="s">
        <x:v>18</x:v>
      </x:c>
      <x:c r="D5" s="7" t="s">
        <x:v>19</x:v>
      </x:c>
      <x:c r="E5" s="7" t="s">
        <x:v>20</x:v>
      </x:c>
      <x:c r="F5" s="8" t="n">
        <x:f aca="0">Custos!B24</x:f>
        <x:v>40100</x:v>
      </x:c>
      <x:c r="G5" s="8" t="n">
        <x:f aca="0">Custos!C24</x:f>
        <x:v>4583.333333333333</x:v>
      </x:c>
      <x:c r="H5" s="8" t="n">
        <x:f aca="0">Custos!D24</x:f>
        <x:v>95100</x:v>
      </x:c>
      <x:c r="I5" s="7" t="s">
        <x:v>21</x:v>
      </x:c>
      <x:c r="J5" s="7" t="s">
        <x:v>22</x:v>
      </x:c>
      <x:c r="K5" s="7" t="s">
        <x:v>23</x:v>
      </x:c>
      <x:c r="L5" s="7" t="s">
        <x:v>24</x:v>
      </x:c>
      <x:c r="M5" s="7" t="s">
        <x:v>25</x:v>
      </x:c>
      <x:c r="N5" s="7" t="s">
        <x:v>26</x:v>
      </x:c>
      <x:c r="O5" s="9" t="s">
        <x:v>27</x:v>
      </x:c>
    </x:row>
    <x:row r="6" ht="120" hidden="0" customHeight="1">
      <x:c r="A6" s="5" t="n">
        <x:v>2</x:v>
      </x:c>
      <x:c r="B6" s="6" t="s">
        <x:v>28</x:v>
      </x:c>
      <x:c r="C6" s="7" t="s">
        <x:v>29</x:v>
      </x:c>
      <x:c r="D6" s="7" t="s">
        <x:v>30</x:v>
      </x:c>
      <x:c r="E6" s="7" t="s">
        <x:v>31</x:v>
      </x:c>
      <x:c r="F6" s="8" t="n">
        <x:f aca="0">Custos!B25</x:f>
        <x:v>33699</x:v>
      </x:c>
      <x:c r="G6" s="8" t="n">
        <x:f aca="0">Custos!C25</x:f>
        <x:v>1790</x:v>
      </x:c>
      <x:c r="H6" s="8" t="n">
        <x:f aca="0">Custos!D25</x:f>
        <x:v>55179</x:v>
      </x:c>
      <x:c r="I6" s="7" t="s">
        <x:v>32</x:v>
      </x:c>
      <x:c r="J6" s="7" t="s">
        <x:v>33</x:v>
      </x:c>
      <x:c r="K6" s="7" t="s">
        <x:v>23</x:v>
      </x:c>
      <x:c r="L6" s="7" t="s">
        <x:v>34</x:v>
      </x:c>
      <x:c r="M6" s="7" t="s">
        <x:v>35</x:v>
      </x:c>
      <x:c r="N6" s="7" t="s">
        <x:v>36</x:v>
      </x:c>
      <x:c r="O6" s="9" t="s">
        <x:v>27</x:v>
      </x:c>
    </x:row>
    <x:row r="7" ht="120" hidden="0" customHeight="1">
      <x:c r="A7" s="5" t="n">
        <x:v>3</x:v>
      </x:c>
      <x:c r="B7" s="6" t="s">
        <x:v>37</x:v>
      </x:c>
      <x:c r="C7" s="7" t="s">
        <x:v>38</x:v>
      </x:c>
      <x:c r="D7" s="7" t="s">
        <x:v>39</x:v>
      </x:c>
      <x:c r="E7" s="7" t="s">
        <x:v>40</x:v>
      </x:c>
      <x:c r="F7" s="8" t="n">
        <x:f aca="0">Custos!B26</x:f>
        <x:v>7340</x:v>
      </x:c>
      <x:c r="G7" s="8" t="n">
        <x:f aca="0">Custos!C26</x:f>
        <x:v>0</x:v>
      </x:c>
      <x:c r="H7" s="8" t="n">
        <x:f aca="0">Custos!D26</x:f>
        <x:v>7340</x:v>
      </x:c>
      <x:c r="I7" s="7" t="s">
        <x:v>41</x:v>
      </x:c>
      <x:c r="J7" s="7" t="s">
        <x:v>42</x:v>
      </x:c>
      <x:c r="K7" s="7" t="s">
        <x:v>43</x:v>
      </x:c>
      <x:c r="L7" s="7" t="s">
        <x:v>44</x:v>
      </x:c>
      <x:c r="M7" s="7" t="s">
        <x:v>45</x:v>
      </x:c>
      <x:c r="N7" s="7" t="s">
        <x:v>46</x:v>
      </x:c>
      <x:c r="O7" s="9" t="s">
        <x:v>27</x:v>
      </x:c>
    </x:row>
    <x:row r="8" ht="120" hidden="0" customHeight="1">
      <x:c r="A8" s="5" t="n">
        <x:v>4</x:v>
      </x:c>
      <x:c r="B8" s="6" t="s">
        <x:v>47</x:v>
      </x:c>
      <x:c r="C8" s="7" t="s">
        <x:v>48</x:v>
      </x:c>
      <x:c r="D8" s="7" t="s">
        <x:v>49</x:v>
      </x:c>
      <x:c r="E8" s="7" t="s">
        <x:v>50</x:v>
      </x:c>
      <x:c r="F8" s="8" t="n">
        <x:f aca="0">Custos!B27</x:f>
        <x:v>7340</x:v>
      </x:c>
      <x:c r="G8" s="8" t="n">
        <x:f aca="0">Custos!C27</x:f>
        <x:v>299</x:v>
      </x:c>
      <x:c r="H8" s="8" t="n">
        <x:f aca="0">Custos!D27</x:f>
        <x:v>10928</x:v>
      </x:c>
      <x:c r="I8" s="7" t="s">
        <x:v>51</x:v>
      </x:c>
      <x:c r="J8" s="7" t="s">
        <x:v>52</x:v>
      </x:c>
      <x:c r="K8" s="7" t="s">
        <x:v>23</x:v>
      </x:c>
      <x:c r="L8" s="7" t="s">
        <x:v>34</x:v>
      </x:c>
      <x:c r="M8" s="7" t="s">
        <x:v>53</x:v>
      </x:c>
      <x:c r="N8" s="7" t="s">
        <x:v>54</x:v>
      </x:c>
      <x:c r="O8" s="9" t="s">
        <x:v>27</x:v>
      </x:c>
    </x:row>
    <x:row r="9" ht="120" hidden="0" customHeight="1">
      <x:c r="A9" s="5" t="n">
        <x:v>5</x:v>
      </x:c>
      <x:c r="B9" s="6" t="s">
        <x:v>55</x:v>
      </x:c>
      <x:c r="C9" s="7" t="s">
        <x:v>56</x:v>
      </x:c>
      <x:c r="D9" s="7" t="s">
        <x:v>57</x:v>
      </x:c>
      <x:c r="E9" s="7" t="s">
        <x:v>58</x:v>
      </x:c>
      <x:c r="F9" s="8" t="n">
        <x:f aca="0">Custos!B28</x:f>
        <x:v>19633.339999999997</x:v>
      </x:c>
      <x:c r="G9" s="8" t="n">
        <x:f aca="0">Custos!C28</x:f>
        <x:v>3483.33</x:v>
      </x:c>
      <x:c r="H9" s="8" t="n">
        <x:f aca="0">Custos!D28</x:f>
        <x:v>61433.299999999996</x:v>
      </x:c>
      <x:c r="I9" s="7" t="s">
        <x:v>59</x:v>
      </x:c>
      <x:c r="J9" s="7" t="s">
        <x:v>60</x:v>
      </x:c>
      <x:c r="K9" s="7" t="s">
        <x:v>61</x:v>
      </x:c>
      <x:c r="L9" s="7" t="s">
        <x:v>24</x:v>
      </x:c>
      <x:c r="M9" s="7" t="s">
        <x:v>62</x:v>
      </x:c>
      <x:c r="N9" s="7" t="s">
        <x:v>63</x:v>
      </x:c>
      <x:c r="O9" s="9" t="s">
        <x:v>64</x:v>
      </x:c>
    </x:row>
    <x:row r="10" ht="120" hidden="0" customHeight="1">
      <x:c r="A10" s="5" t="n">
        <x:v>6</x:v>
      </x:c>
      <x:c r="B10" s="6" t="s">
        <x:v>65</x:v>
      </x:c>
      <x:c r="C10" s="7" t="s">
        <x:v>66</x:v>
      </x:c>
      <x:c r="D10" s="7" t="s">
        <x:v>67</x:v>
      </x:c>
      <x:c r="E10" s="7" t="s">
        <x:v>68</x:v>
      </x:c>
      <x:c r="F10" s="8" t="n">
        <x:f aca="0">Custos!B29</x:f>
        <x:v>54428.909999999996</x:v>
      </x:c>
      <x:c r="G10" s="8" t="n">
        <x:f aca="0">Custos!C29</x:f>
        <x:v>0</x:v>
      </x:c>
      <x:c r="H10" s="8" t="n">
        <x:f aca="0">Custos!D29</x:f>
        <x:v>54428.909999999996</x:v>
      </x:c>
      <x:c r="I10" s="7" t="s">
        <x:v>69</x:v>
      </x:c>
      <x:c r="J10" s="7" t="s">
        <x:v>70</x:v>
      </x:c>
      <x:c r="K10" s="7" t="s">
        <x:v>61</x:v>
      </x:c>
      <x:c r="L10" s="7" t="s">
        <x:v>71</x:v>
      </x:c>
      <x:c r="M10" s="7" t="s">
        <x:v>72</x:v>
      </x:c>
      <x:c r="N10" s="7" t="s">
        <x:v>73</x:v>
      </x:c>
      <x:c r="O10" s="9" t="s">
        <x:v>64</x:v>
      </x:c>
    </x:row>
    <x:row r="11" ht="120" customHeight="1">
      <x:c r="A11" s="186" t="n">
        <x:v>7</x:v>
      </x:c>
      <x:c r="B11" s="188" t="str">
        <x:v>e-SUS APS / PEC</x:v>
      </x:c>
      <x:c r="C11" s="189" t="str">
        <x:v>Prontuário eletrônico público com módulo de videochamadas</x:v>
      </x:c>
      <x:c r="D11" s="189" t="str">
        <x:v>Gratuito para os municípios</x:v>
      </x:c>
      <x:c r="E11" s="189" t="str">
        <x:v>R$ 0 de licença do PEC; custos de infraestrutura/equipamentos não informados</x:v>
      </x:c>
      <x:c r="F11" s="273" t="n">
        <x:f>Custos!B30</x:f>
        <x:v>0</x:v>
      </x:c>
      <x:c r="G11" s="273" t="n">
        <x:f>Custos!C30</x:f>
        <x:v>0</x:v>
      </x:c>
      <x:c r="H11" s="273" t="n">
        <x:f>Custos!D30</x:f>
        <x:v>0</x:v>
      </x:c>
      <x:c r="I11" s="189" t="str">
        <x:v>Prontuário eletrônico com registro de consultas, agendas, vacinas, exames e outros atendimentos; modelo RCOP; integração com RNDS e CADSUS; solicitação de OCI; módulo de Videochamadas com link para o paciente, aceite de termos, chat lateral e janela flutuante.</x:v>
      </x:c>
      <x:c r="J11" s="189" t="str">
        <x:v>Sistema instalado localmente pelo município. O profissional anfitrião precisa acessar pelo computador; o paciente/convidado pode entrar pelo link em tablet/computador, sem instalar nem fazer login. Requer certificado digital do município para integração RNDS/CADSUS.</x:v>
      </x:c>
      <x:c r="K11" s="189" t="str">
        <x:v>N/I</x:v>
      </x:c>
      <x:c r="L11" s="189" t="str">
        <x:v>Local / município</x:v>
      </x:c>
      <x:c r="M11" s="189" t="str">
        <x:v>Gratuito para os municípios; integra prontuário, RNDS/CADSUS e videochamada no mesmo sistema; paciente entra por link sem login.</x:v>
      </x:c>
      <x:c r="N11" s="189" t="str">
        <x:v>Custos de infraestrutura/equipamentos não foram informados no PDF; configuração depende do Administrador Municipal e de certificado digital; anfitrião deve usar computador.</x:v>
      </x:c>
      <x:c r="O11" s="191" t="str">
        <x:v>Manual oficial citado no PDF</x:v>
      </x:c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</x:row>
  </x:sheetData>
  <x:hyperlinks>
    <x:hyperlink xmlns:r="http://schemas.openxmlformats.org/officeDocument/2006/relationships" ref="O5" r:id="R1131cf2d32d84c24"/>
    <x:hyperlink xmlns:r="http://schemas.openxmlformats.org/officeDocument/2006/relationships" ref="O6" r:id="Rab974ff9c8b74236"/>
    <x:hyperlink xmlns:r="http://schemas.openxmlformats.org/officeDocument/2006/relationships" ref="O7" r:id="Rc41894291d73470e"/>
    <x:hyperlink xmlns:r="http://schemas.openxmlformats.org/officeDocument/2006/relationships" ref="O8" r:id="R2d0e4dab74d040cc"/>
    <x:hyperlink xmlns:r="http://schemas.openxmlformats.org/officeDocument/2006/relationships" ref="O9" r:id="R2a5e9c0da874448f"/>
    <x:hyperlink xmlns:r="http://schemas.openxmlformats.org/officeDocument/2006/relationships" ref="O10" r:id="Rabce86af98414bfc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4" hidden="0" customWidth="1"/>
    <x:col min="2" max="7" width="20" hidden="0" customWidth="1"/>
    <x:col min="8" max="8" width="20" hidden="0" customWidth="1"/>
  </x:cols>
  <x:sheetData>
    <x:row r="1" ht="16.149999618530273" hidden="0">
      <x:c r="A1" s="10" t="s">
        <x:v>74</x:v>
      </x:c>
      <x:c r="B1" s="2"/>
      <x:c r="C1" s="2"/>
      <x:c r="D1" s="2"/>
      <x:c r="E1" s="2"/>
      <x:c r="F1" s="2"/>
      <x:c r="G1" s="2"/>
    </x:row>
    <x:row r="2" ht="15" hidden="0">
      <x:c r="A2" s="3" t="s">
        <x:v>75</x:v>
      </x:c>
      <x:c r="B2" s="2"/>
      <x:c r="C2" s="2"/>
      <x:c r="D2" s="2"/>
      <x:c r="E2" s="2"/>
      <x:c r="F2" s="2"/>
      <x:c r="G2" s="2"/>
    </x:row>
    <x:row r="3" ht="15" hidden="0">
      <x:c r="A3" s="2"/>
      <x:c r="B3" s="2"/>
      <x:c r="C3" s="2"/>
      <x:c r="D3" s="2"/>
      <x:c r="E3" s="2"/>
      <x:c r="F3" s="2"/>
      <x:c r="G3" s="2"/>
    </x:row>
    <x:row r="4" ht="45" hidden="0" customHeight="1">
      <x:c r="A4" s="4" t="s">
        <x:v>76</x:v>
      </x:c>
      <x:c r="B4" s="4" t="s">
        <x:v>17</x:v>
      </x:c>
      <x:c r="C4" s="4" t="s">
        <x:v>28</x:v>
      </x:c>
      <x:c r="D4" s="4" t="s">
        <x:v>37</x:v>
      </x:c>
      <x:c r="E4" s="4" t="s">
        <x:v>47</x:v>
      </x:c>
      <x:c r="F4" s="4" t="s">
        <x:v>55</x:v>
      </x:c>
      <x:c r="G4" s="4" t="s">
        <x:v>65</x:v>
      </x:c>
      <x:c r="H4" s="104" t="str">
        <x:v>e-SUS APS / PEC</x:v>
      </x:c>
    </x:row>
    <x:row r="5" ht="15" hidden="0">
      <x:c r="A5" s="11" t="s">
        <x:v>77</x:v>
      </x:c>
      <x:c r="B5" s="12" t="s">
        <x:v>43</x:v>
      </x:c>
      <x:c r="C5" s="12" t="s">
        <x:v>43</x:v>
      </x:c>
      <x:c r="D5" s="12" t="s">
        <x:v>43</x:v>
      </x:c>
      <x:c r="E5" s="12" t="s">
        <x:v>43</x:v>
      </x:c>
      <x:c r="F5" s="12" t="s">
        <x:v>43</x:v>
      </x:c>
      <x:c r="G5" s="12" t="s">
        <x:v>43</x:v>
      </x:c>
      <x:c r="H5" s="116" t="str">
        <x:v>Sim</x:v>
      </x:c>
    </x:row>
    <x:row r="6" ht="15" hidden="0">
      <x:c r="A6" s="11" t="s">
        <x:v>78</x:v>
      </x:c>
      <x:c r="B6" s="12" t="s">
        <x:v>43</x:v>
      </x:c>
      <x:c r="C6" s="12" t="s">
        <x:v>43</x:v>
      </x:c>
      <x:c r="D6" s="12" t="s">
        <x:v>23</x:v>
      </x:c>
      <x:c r="E6" s="12" t="s">
        <x:v>43</x:v>
      </x:c>
      <x:c r="F6" s="12" t="s">
        <x:v>79</x:v>
      </x:c>
      <x:c r="G6" s="12" t="s">
        <x:v>79</x:v>
      </x:c>
      <x:c r="H6" s="117" t="str">
        <x:v>Sim</x:v>
      </x:c>
    </x:row>
    <x:row r="7" ht="15" hidden="0">
      <x:c r="A7" s="11" t="s">
        <x:v>80</x:v>
      </x:c>
      <x:c r="B7" s="12" t="s">
        <x:v>43</x:v>
      </x:c>
      <x:c r="C7" s="12" t="s">
        <x:v>81</x:v>
      </x:c>
      <x:c r="D7" s="12" t="s">
        <x:v>23</x:v>
      </x:c>
      <x:c r="E7" s="12" t="s">
        <x:v>79</x:v>
      </x:c>
      <x:c r="F7" s="12" t="s">
        <x:v>43</x:v>
      </x:c>
      <x:c r="G7" s="12" t="s">
        <x:v>81</x:v>
      </x:c>
      <x:c r="H7" s="117" t="str">
        <x:v>N/I</x:v>
      </x:c>
    </x:row>
    <x:row r="8" ht="15" hidden="0">
      <x:c r="A8" s="11" t="s">
        <x:v>82</x:v>
      </x:c>
      <x:c r="B8" s="12" t="s">
        <x:v>43</x:v>
      </x:c>
      <x:c r="C8" s="12" t="s">
        <x:v>81</x:v>
      </x:c>
      <x:c r="D8" s="12" t="s">
        <x:v>23</x:v>
      </x:c>
      <x:c r="E8" s="12" t="s">
        <x:v>79</x:v>
      </x:c>
      <x:c r="F8" s="12" t="s">
        <x:v>43</x:v>
      </x:c>
      <x:c r="G8" s="12" t="s">
        <x:v>79</x:v>
      </x:c>
      <x:c r="H8" s="117" t="str">
        <x:v>N/I</x:v>
      </x:c>
    </x:row>
    <x:row r="9" ht="15" hidden="0">
      <x:c r="A9" s="11" t="s">
        <x:v>83</x:v>
      </x:c>
      <x:c r="B9" s="12" t="s">
        <x:v>79</x:v>
      </x:c>
      <x:c r="C9" s="12" t="s">
        <x:v>79</x:v>
      </x:c>
      <x:c r="D9" s="12" t="s">
        <x:v>43</x:v>
      </x:c>
      <x:c r="E9" s="12" t="s">
        <x:v>43</x:v>
      </x:c>
      <x:c r="F9" s="12" t="s">
        <x:v>79</x:v>
      </x:c>
      <x:c r="G9" s="12" t="s">
        <x:v>79</x:v>
      </x:c>
      <x:c r="H9" s="117" t="str">
        <x:v>N/I</x:v>
      </x:c>
    </x:row>
    <x:row r="10" ht="15" hidden="0">
      <x:c r="A10" s="11" t="s">
        <x:v>84</x:v>
      </x:c>
      <x:c r="B10" s="12" t="s">
        <x:v>79</x:v>
      </x:c>
      <x:c r="C10" s="12" t="s">
        <x:v>79</x:v>
      </x:c>
      <x:c r="D10" s="12" t="s">
        <x:v>23</x:v>
      </x:c>
      <x:c r="E10" s="12" t="s">
        <x:v>43</x:v>
      </x:c>
      <x:c r="F10" s="12" t="s">
        <x:v>79</x:v>
      </x:c>
      <x:c r="G10" s="12" t="s">
        <x:v>79</x:v>
      </x:c>
      <x:c r="H10" s="117" t="str">
        <x:v>Parcial</x:v>
      </x:c>
    </x:row>
    <x:row r="11" ht="15" hidden="0">
      <x:c r="A11" s="11" t="s">
        <x:v>85</x:v>
      </x:c>
      <x:c r="B11" s="12" t="s">
        <x:v>43</x:v>
      </x:c>
      <x:c r="C11" s="12" t="s">
        <x:v>79</x:v>
      </x:c>
      <x:c r="D11" s="12" t="s">
        <x:v>81</x:v>
      </x:c>
      <x:c r="E11" s="12" t="s">
        <x:v>79</x:v>
      </x:c>
      <x:c r="F11" s="12" t="s">
        <x:v>79</x:v>
      </x:c>
      <x:c r="G11" s="12" t="s">
        <x:v>43</x:v>
      </x:c>
      <x:c r="H11" s="117" t="str">
        <x:v>Sim</x:v>
      </x:c>
    </x:row>
    <x:row r="12" ht="15" hidden="0">
      <x:c r="A12" s="11" t="s">
        <x:v>86</x:v>
      </x:c>
      <x:c r="B12" s="12" t="s">
        <x:v>23</x:v>
      </x:c>
      <x:c r="C12" s="12" t="s">
        <x:v>23</x:v>
      </x:c>
      <x:c r="D12" s="12" t="s">
        <x:v>43</x:v>
      </x:c>
      <x:c r="E12" s="12" t="s">
        <x:v>23</x:v>
      </x:c>
      <x:c r="F12" s="12" t="s">
        <x:v>23</x:v>
      </x:c>
      <x:c r="G12" s="12" t="s">
        <x:v>23</x:v>
      </x:c>
      <x:c r="H12" s="117" t="str">
        <x:v>N/I</x:v>
      </x:c>
    </x:row>
    <x:row r="13" ht="15" hidden="0">
      <x:c r="A13" s="11" t="s">
        <x:v>87</x:v>
      </x:c>
      <x:c r="B13" s="12" t="s">
        <x:v>79</x:v>
      </x:c>
      <x:c r="C13" s="12" t="s">
        <x:v>79</x:v>
      </x:c>
      <x:c r="D13" s="12" t="s">
        <x:v>43</x:v>
      </x:c>
      <x:c r="E13" s="12" t="s">
        <x:v>23</x:v>
      </x:c>
      <x:c r="F13" s="12" t="s">
        <x:v>79</x:v>
      </x:c>
      <x:c r="G13" s="12" t="s">
        <x:v>79</x:v>
      </x:c>
      <x:c r="H13" s="117" t="str">
        <x:v>Parcial</x:v>
      </x:c>
    </x:row>
    <x:row r="14" ht="15" hidden="0">
      <x:c r="A14" s="11" t="s">
        <x:v>88</x:v>
      </x:c>
      <x:c r="B14" s="12" t="s">
        <x:v>79</x:v>
      </x:c>
      <x:c r="C14" s="12" t="s">
        <x:v>43</x:v>
      </x:c>
      <x:c r="D14" s="12" t="s">
        <x:v>23</x:v>
      </x:c>
      <x:c r="E14" s="12" t="s">
        <x:v>43</x:v>
      </x:c>
      <x:c r="F14" s="12" t="s">
        <x:v>79</x:v>
      </x:c>
      <x:c r="G14" s="12" t="s">
        <x:v>43</x:v>
      </x:c>
      <x:c r="H14" s="117" t="str">
        <x:v>Não</x:v>
      </x:c>
    </x:row>
    <x:row r="15" ht="15" hidden="0">
      <x:c r="A15" s="11" t="s">
        <x:v>89</x:v>
      </x:c>
      <x:c r="B15" s="12" t="s">
        <x:v>79</x:v>
      </x:c>
      <x:c r="C15" s="12" t="s">
        <x:v>79</x:v>
      </x:c>
      <x:c r="D15" s="12" t="s">
        <x:v>43</x:v>
      </x:c>
      <x:c r="E15" s="12" t="s">
        <x:v>43</x:v>
      </x:c>
      <x:c r="F15" s="12" t="s">
        <x:v>43</x:v>
      </x:c>
      <x:c r="G15" s="12" t="s">
        <x:v>43</x:v>
      </x:c>
      <x:c r="H15" s="117" t="str">
        <x:v>N/I</x:v>
      </x:c>
    </x:row>
    <x:row r="16" ht="15" hidden="0">
      <x:c r="A16" s="11" t="s">
        <x:v>90</x:v>
      </x:c>
      <x:c r="B16" s="12" t="s">
        <x:v>43</x:v>
      </x:c>
      <x:c r="C16" s="12" t="s">
        <x:v>79</x:v>
      </x:c>
      <x:c r="D16" s="12" t="s">
        <x:v>23</x:v>
      </x:c>
      <x:c r="E16" s="12" t="s">
        <x:v>79</x:v>
      </x:c>
      <x:c r="F16" s="12" t="s">
        <x:v>79</x:v>
      </x:c>
      <x:c r="G16" s="12" t="s">
        <x:v>43</x:v>
      </x:c>
      <x:c r="H16" s="118" t="str">
        <x:v>N/I</x:v>
      </x:c>
    </x:row>
    <x:row r="17" ht="15" hidden="0">
      <x:c r="A17" s="13" t="s">
        <x:v>91</x:v>
      </x:c>
      <x:c r="B17" s="14" t="n">
        <x:f aca="0">COUNTIF(B5:B16,"Sim")</x:f>
        <x:v>6</x:v>
      </x:c>
      <x:c r="C17" s="14" t="n">
        <x:f aca="0">COUNTIF(C5:C16,"Sim")</x:f>
        <x:v>3</x:v>
      </x:c>
      <x:c r="D17" s="14" t="n">
        <x:f aca="0">COUNTIF(D5:D16,"Sim")</x:f>
        <x:v>5</x:v>
      </x:c>
      <x:c r="E17" s="14" t="n">
        <x:f aca="0">COUNTIF(E5:E16,"Sim")</x:f>
        <x:v>6</x:v>
      </x:c>
      <x:c r="F17" s="14" t="n">
        <x:f aca="0">COUNTIF(F5:F16,"Sim")</x:f>
        <x:v>4</x:v>
      </x:c>
      <x:c r="G17" s="14" t="n">
        <x:f aca="0">COUNTIF(G5:G16,"Sim")</x:f>
        <x:v>5</x:v>
      </x:c>
      <x:c r="H17" s="132" t="n">
        <x:v>3</x:v>
      </x:c>
    </x:row>
  </x:sheetData>
  <x:conditionalFormatting sqref="B5:G16">
    <x:cfRule type="cellIs" dxfId="0" priority="2" aboveAverage="0" percent="0" bottom="0" operator="equal" rank="0" equalAverage="0">
      <x:formula>"Sim"</x:formula>
    </x:cfRule>
    <x:cfRule type="cellIs" dxfId="1" priority="3" aboveAverage="0" percent="0" bottom="0" operator="equal" rank="0" equalAverage="0">
      <x:formula>"Parcial"</x:formula>
    </x:cfRule>
    <x:cfRule type="cellIs" dxfId="2" priority="4" aboveAverage="0" percent="0" bottom="0" operator="equal" rank="0" equalAverage="0">
      <x:formula>"Não"</x:formula>
    </x:cfRule>
    <x:cfRule type="cellIs" dxfId="3" priority="5" aboveAverage="0" percent="0" bottom="0" operator="equal" rank="0" equalAverage="0">
      <x:formula>"N/I"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62" hidden="0" customWidth="1"/>
    <x:col min="2" max="2" width="20" hidden="0" customWidth="1"/>
  </x:cols>
  <x:sheetData>
    <x:row r="1" ht="16.149999618530273" hidden="0">
      <x:c r="A1" s="10" t="s">
        <x:v>92</x:v>
      </x:c>
      <x:c r="B1" s="2"/>
    </x:row>
    <x:row r="2" ht="15" hidden="0">
      <x:c r="A2" s="2"/>
      <x:c r="B2" s="2"/>
    </x:row>
    <x:row r="3" ht="15" hidden="0">
      <x:c r="A3" s="15" t="s">
        <x:v>93</x:v>
      </x:c>
      <x:c r="B3" s="2"/>
    </x:row>
    <x:row r="4" ht="15" hidden="0">
      <x:c r="A4" s="4" t="s">
        <x:v>94</x:v>
      </x:c>
      <x:c r="B4" s="4" t="s">
        <x:v>95</x:v>
      </x:c>
    </x:row>
    <x:row r="5" ht="15" hidden="0">
      <x:c r="A5" s="16" t="s">
        <x:v>96</x:v>
      </x:c>
      <x:c r="B5" s="17" t="n">
        <x:v>5500</x:v>
      </x:c>
    </x:row>
    <x:row r="6" ht="15" hidden="0">
      <x:c r="A6" s="16" t="s">
        <x:v>97</x:v>
      </x:c>
      <x:c r="B6" s="17" t="n">
        <x:v>900</x:v>
      </x:c>
    </x:row>
    <x:row r="7" ht="15" hidden="0">
      <x:c r="A7" s="16" t="s">
        <x:v>98</x:v>
      </x:c>
      <x:c r="B7" s="17" t="n">
        <x:v>650</x:v>
      </x:c>
    </x:row>
    <x:row r="8" ht="15" hidden="0">
      <x:c r="A8" s="16" t="s">
        <x:v>99</x:v>
      </x:c>
      <x:c r="B8" s="17" t="n">
        <x:v>700</x:v>
      </x:c>
    </x:row>
    <x:row r="9" ht="15" hidden="0">
      <x:c r="A9" s="16" t="s">
        <x:v>100</x:v>
      </x:c>
      <x:c r="B9" s="17" t="n">
        <x:v>850</x:v>
      </x:c>
    </x:row>
    <x:row r="10" ht="15" hidden="0">
      <x:c r="A10" s="16" t="s">
        <x:v>101</x:v>
      </x:c>
      <x:c r="B10" s="17" t="n">
        <x:v>500</x:v>
      </x:c>
    </x:row>
    <x:row r="11" ht="15" hidden="0">
      <x:c r="A11" s="16" t="s">
        <x:v>102</x:v>
      </x:c>
      <x:c r="B11" s="17" t="n">
        <x:v>5500</x:v>
      </x:c>
    </x:row>
    <x:row r="12" ht="15" hidden="0">
      <x:c r="A12" s="16" t="s">
        <x:v>103</x:v>
      </x:c>
      <x:c r="B12" s="17" t="n">
        <x:v>6500</x:v>
      </x:c>
    </x:row>
    <x:row r="13" ht="15" hidden="0">
      <x:c r="A13" s="16" t="s">
        <x:v>104</x:v>
      </x:c>
      <x:c r="B13" s="17" t="n">
        <x:v>12000</x:v>
      </x:c>
    </x:row>
    <x:row r="14" ht="15" hidden="0">
      <x:c r="A14" s="16" t="s">
        <x:v>105</x:v>
      </x:c>
      <x:c r="B14" s="17" t="n">
        <x:v>7000</x:v>
      </x:c>
    </x:row>
    <x:row r="15" ht="15" hidden="0">
      <x:c r="A15" s="13" t="s">
        <x:v>106</x:v>
      </x:c>
      <x:c r="B15" s="18" t="n">
        <x:f aca="0">SUM(B5:B14)</x:f>
        <x:v>40100</x:v>
      </x:c>
    </x:row>
    <x:row r="16" ht="15" hidden="0">
      <x:c r="A16" s="19" t="s">
        <x:v>107</x:v>
      </x:c>
      <x:c r="B16" s="20" t="n">
        <x:v>45000</x:v>
      </x:c>
    </x:row>
    <x:row r="17" ht="15" hidden="0">
      <x:c r="A17" s="19" t="s">
        <x:v>108</x:v>
      </x:c>
      <x:c r="B17" s="21" t="n">
        <x:f aca="0">B16-B15</x:f>
        <x:v>4900</x:v>
      </x:c>
    </x:row>
    <x:row r="18" ht="15" hidden="0">
      <x:c r="A18" s="2"/>
      <x:c r="B18" s="2"/>
    </x:row>
    <x:row r="19" ht="15" hidden="0">
      <x:c r="A19" s="2"/>
      <x:c r="B19" s="2"/>
    </x:row>
    <x:row r="20" ht="15" hidden="0">
      <x:c r="A20" s="15" t="s">
        <x:v>109</x:v>
      </x:c>
      <x:c r="B20" s="2"/>
    </x:row>
    <x:row r="21" ht="15" hidden="0">
      <x:c r="A21" s="4" t="s">
        <x:v>94</x:v>
      </x:c>
      <x:c r="B21" s="4" t="s">
        <x:v>95</x:v>
      </x:c>
    </x:row>
    <x:row r="22" ht="15" hidden="0">
      <x:c r="A22" s="16" t="s">
        <x:v>96</x:v>
      </x:c>
      <x:c r="B22" s="17" t="n">
        <x:v>4800</x:v>
      </x:c>
    </x:row>
    <x:row r="23" ht="15" hidden="0">
      <x:c r="A23" s="16" t="s">
        <x:v>97</x:v>
      </x:c>
      <x:c r="B23" s="17" t="n">
        <x:v>700</x:v>
      </x:c>
    </x:row>
    <x:row r="24" ht="15" hidden="0">
      <x:c r="A24" s="16" t="s">
        <x:v>98</x:v>
      </x:c>
      <x:c r="B24" s="17" t="n">
        <x:v>450</x:v>
      </x:c>
    </x:row>
    <x:row r="25" ht="15" hidden="0">
      <x:c r="A25" s="16" t="s">
        <x:v>110</x:v>
      </x:c>
      <x:c r="B25" s="17" t="n">
        <x:v>350</x:v>
      </x:c>
    </x:row>
    <x:row r="26" ht="15" hidden="0">
      <x:c r="A26" s="16" t="s">
        <x:v>100</x:v>
      </x:c>
      <x:c r="B26" s="17" t="n">
        <x:v>740</x:v>
      </x:c>
    </x:row>
    <x:row r="27" ht="15" hidden="0">
      <x:c r="A27" s="16" t="s">
        <x:v>111</x:v>
      </x:c>
      <x:c r="B27" s="17" t="n">
        <x:v>300</x:v>
      </x:c>
    </x:row>
    <x:row r="28" ht="15" hidden="0">
      <x:c r="A28" s="16" t="s">
        <x:v>112</x:v>
      </x:c>
      <x:c r="B28" s="17" t="n">
        <x:v>5359</x:v>
      </x:c>
    </x:row>
    <x:row r="29" ht="15" hidden="0">
      <x:c r="A29" s="16" t="s">
        <x:v>113</x:v>
      </x:c>
      <x:c r="B29" s="17" t="n">
        <x:v>6500</x:v>
      </x:c>
    </x:row>
    <x:row r="30" ht="15" hidden="0">
      <x:c r="A30" s="16" t="s">
        <x:v>114</x:v>
      </x:c>
      <x:c r="B30" s="17" t="n">
        <x:v>7000</x:v>
      </x:c>
    </x:row>
    <x:row r="31" ht="15" hidden="0">
      <x:c r="A31" s="16" t="s">
        <x:v>115</x:v>
      </x:c>
      <x:c r="B31" s="17" t="n">
        <x:v>7500</x:v>
      </x:c>
    </x:row>
    <x:row r="32" ht="15" hidden="0">
      <x:c r="A32" s="13" t="s">
        <x:v>106</x:v>
      </x:c>
      <x:c r="B32" s="18" t="n">
        <x:f aca="0">SUM(B22:B31)</x:f>
        <x:v>33699</x:v>
      </x:c>
    </x:row>
    <x:row r="33" ht="15" hidden="0">
      <x:c r="A33" s="19" t="s">
        <x:v>107</x:v>
      </x:c>
      <x:c r="B33" s="20" t="n">
        <x:v>35000</x:v>
      </x:c>
    </x:row>
    <x:row r="34" ht="15" hidden="0">
      <x:c r="A34" s="19" t="s">
        <x:v>108</x:v>
      </x:c>
      <x:c r="B34" s="21" t="n">
        <x:f aca="0">B33-B32</x:f>
        <x:v>1301</x:v>
      </x:c>
    </x:row>
    <x:row r="35" ht="15" hidden="0">
      <x:c r="A35" s="2"/>
      <x:c r="B35" s="2"/>
    </x:row>
    <x:row r="36" ht="15" hidden="0">
      <x:c r="A36" s="15" t="s">
        <x:v>116</x:v>
      </x:c>
      <x:c r="B36" s="2"/>
    </x:row>
    <x:row r="37" ht="15" hidden="0">
      <x:c r="A37" s="4" t="s">
        <x:v>94</x:v>
      </x:c>
      <x:c r="B37" s="4" t="s">
        <x:v>117</x:v>
      </x:c>
    </x:row>
    <x:row r="38" ht="15" hidden="0">
      <x:c r="A38" s="11" t="s">
        <x:v>118</x:v>
      </x:c>
      <x:c r="B38" s="17" t="n">
        <x:v>1490</x:v>
      </x:c>
    </x:row>
    <x:row r="39" ht="15" hidden="0">
      <x:c r="A39" s="11" t="s">
        <x:v>119</x:v>
      </x:c>
      <x:c r="B39" s="17" t="n">
        <x:v>300</x:v>
      </x:c>
    </x:row>
    <x:row r="40" ht="15" hidden="0">
      <x:c r="A40" s="2"/>
      <x:c r="B40" s="2"/>
    </x:row>
    <x:row r="41" ht="15" hidden="0">
      <x:c r="A41" s="2"/>
      <x:c r="B41" s="2"/>
    </x:row>
    <x:row r="42" ht="15" hidden="0">
      <x:c r="A42" s="15" t="s">
        <x:v>120</x:v>
      </x:c>
      <x:c r="B42" s="2"/>
    </x:row>
    <x:row r="43" ht="45" hidden="0" customHeight="1">
      <x:c r="A43" s="22" t="s">
        <x:v>121</x:v>
      </x:c>
      <x:c r="B43" s="23" t="n">
        <x:f aca="0">SUM(B22:B27)</x:f>
        <x:v>7340</x:v>
      </x:c>
    </x:row>
    <x:row r="44" ht="15" hidden="0">
      <x:c r="A44" s="2"/>
      <x:c r="B44" s="2"/>
    </x:row>
    <x:row r="45" ht="15" hidden="0">
      <x:c r="A45" s="3" t="s">
        <x:v>122</x:v>
      </x:c>
      <x:c r="B45" s="2"/>
    </x:row>
    <x:row r="47">
      <x:c r="A47" s="138" t="str">
        <x:v>Software 7 – e-SUS APS / PEC</x:v>
      </x:c>
      <x:c r="B47"/>
    </x:row>
    <x:row r="48">
      <x:c r="A48" s="144" t="str">
        <x:v>Item</x:v>
      </x:c>
      <x:c r="B48" s="145" t="str">
        <x:v>Valor (R$)</x:v>
      </x:c>
    </x:row>
    <x:row r="49">
      <x:c r="A49" s="77" t="str">
        <x:v>Licença do PEC para municípios</x:v>
      </x:c>
      <x:c r="B49" s="154" t="n">
        <x:v>0</x:v>
      </x:c>
    </x:row>
    <x:row r="50">
      <x:c r="A50" s="77" t="str">
        <x:v>Infraestrutura/servidor local do município</x:v>
      </x:c>
      <x:c r="B50" s="272" t="n">
        <x:v>0</x:v>
      </x:c>
    </x:row>
    <x:row r="51">
      <x:c r="A51" s="77" t="str">
        <x:v>Computador do profissional anfitrião</x:v>
      </x:c>
      <x:c r="B51" s="272" t="n">
        <x:v>0</x:v>
      </x:c>
    </x:row>
    <x:row r="52">
      <x:c r="A52" s="77" t="str">
        <x:v>Tablet/computador para paciente ou profissional convidado</x:v>
      </x:c>
      <x:c r="B52" s="272" t="n">
        <x:v>0</x:v>
      </x:c>
    </x:row>
    <x:row r="53">
      <x:c r="A53" s="77" t="str">
        <x:v>Certificado digital do município (RNDS/CADSUS)</x:v>
      </x:c>
      <x:c r="B53" s="272" t="n">
        <x:v>0</x:v>
      </x:c>
    </x:row>
    <x:row r="54">
      <x:c r="A54" s="77" t="str">
        <x:v>Outros equipamentos para videochamada</x:v>
      </x:c>
      <x:c r="B54" s="27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8" hidden="0" customWidth="1"/>
    <x:col min="2" max="2" width="22" hidden="0" customWidth="1"/>
    <x:col min="3" max="4" width="24" hidden="0" customWidth="1"/>
    <x:col min="5" max="5" width="60" hidden="0" customWidth="1"/>
  </x:cols>
  <x:sheetData>
    <x:row r="1" ht="16.149999618530273" hidden="0">
      <x:c r="A1" s="10" t="s">
        <x:v>123</x:v>
      </x:c>
      <x:c r="B1" s="2"/>
      <x:c r="C1" s="2"/>
      <x:c r="D1" s="2"/>
      <x:c r="E1" s="2"/>
    </x:row>
    <x:row r="2" ht="15" hidden="0">
      <x:c r="A2" s="3" t="s">
        <x:v>124</x:v>
      </x:c>
      <x:c r="B2" s="2"/>
      <x:c r="C2" s="2"/>
      <x:c r="D2" s="2"/>
      <x:c r="E2" s="2"/>
    </x:row>
    <x:row r="3" ht="15" hidden="0">
      <x:c r="A3" s="2"/>
      <x:c r="B3" s="2"/>
      <x:c r="C3" s="2"/>
      <x:c r="D3" s="2"/>
      <x:c r="E3" s="2"/>
    </x:row>
    <x:row r="4" ht="15" hidden="0">
      <x:c r="A4" s="4" t="s">
        <x:v>125</x:v>
      </x:c>
      <x:c r="B4" s="4" t="s">
        <x:v>126</x:v>
      </x:c>
      <x:c r="C4" s="4" t="s">
        <x:v>127</x:v>
      </x:c>
      <x:c r="D4" s="2"/>
      <x:c r="E4" s="2"/>
    </x:row>
    <x:row r="5" ht="39.54999923706055" hidden="0">
      <x:c r="A5" s="11" t="s">
        <x:v>128</x:v>
      </x:c>
      <x:c r="B5" s="24" t="n">
        <x:v>12</x:v>
      </x:c>
      <x:c r="C5" s="25" t="s">
        <x:v>129</x:v>
      </x:c>
      <x:c r="D5" s="2"/>
      <x:c r="E5" s="2"/>
    </x:row>
    <x:row r="6" ht="26.850000381469727" hidden="0">
      <x:c r="A6" s="11" t="s">
        <x:v>130</x:v>
      </x:c>
      <x:c r="B6" s="24" t="n">
        <x:v>1</x:v>
      </x:c>
      <x:c r="C6" s="25" t="s">
        <x:v>131</x:v>
      </x:c>
      <x:c r="D6" s="2"/>
      <x:c r="E6" s="2"/>
    </x:row>
    <x:row r="7" ht="39.54999923706055" hidden="0">
      <x:c r="A7" s="11" t="s">
        <x:v>132</x:v>
      </x:c>
      <x:c r="B7" s="24" t="n">
        <x:v>1</x:v>
      </x:c>
      <x:c r="C7" s="25" t="s">
        <x:v>133</x:v>
      </x:c>
      <x:c r="D7" s="2"/>
      <x:c r="E7" s="2"/>
    </x:row>
    <x:row r="8" ht="39.54999923706055" hidden="0">
      <x:c r="A8" s="11" t="s">
        <x:v>134</x:v>
      </x:c>
      <x:c r="B8" s="17" t="n">
        <x:v>55000</x:v>
      </x:c>
      <x:c r="C8" s="25" t="s">
        <x:v>135</x:v>
      </x:c>
      <x:c r="D8" s="2"/>
      <x:c r="E8" s="2"/>
    </x:row>
    <x:row r="9" ht="39.54999923706055" hidden="0">
      <x:c r="A9" s="11" t="s">
        <x:v>136</x:v>
      </x:c>
      <x:c r="B9" s="26" t="n">
        <x:f aca="0">Equipamentos!B38</x:f>
        <x:v>1490</x:v>
      </x:c>
      <x:c r="C9" s="25" t="s">
        <x:v>137</x:v>
      </x:c>
      <x:c r="D9" s="2"/>
      <x:c r="E9" s="2"/>
    </x:row>
    <x:row r="10" ht="15" hidden="0">
      <x:c r="A10" s="11" t="s">
        <x:v>138</x:v>
      </x:c>
      <x:c r="B10" s="26" t="n">
        <x:f aca="0">Equipamentos!B39</x:f>
        <x:v>300</x:v>
      </x:c>
      <x:c r="C10" s="25" t="s">
        <x:v>139</x:v>
      </x:c>
      <x:c r="D10" s="2"/>
      <x:c r="E10" s="2"/>
    </x:row>
    <x:row r="11" ht="77.5999984741211" hidden="0">
      <x:c r="A11" s="11" t="s">
        <x:v>140</x:v>
      </x:c>
      <x:c r="B11" s="27" t="n">
        <x:v>0</x:v>
      </x:c>
      <x:c r="C11" s="25" t="s">
        <x:v>141</x:v>
      </x:c>
      <x:c r="D11" s="2"/>
      <x:c r="E11" s="2"/>
    </x:row>
    <x:row r="12" ht="64.9000015258789" hidden="0">
      <x:c r="A12" s="11" t="s">
        <x:v>142</x:v>
      </x:c>
      <x:c r="B12" s="27" t="n">
        <x:v>299</x:v>
      </x:c>
      <x:c r="C12" s="25" t="s">
        <x:v>143</x:v>
      </x:c>
      <x:c r="D12" s="2"/>
      <x:c r="E12" s="2"/>
    </x:row>
    <x:row r="13" ht="26.850000381469727" hidden="0">
      <x:c r="A13" s="11" t="s">
        <x:v>144</x:v>
      </x:c>
      <x:c r="B13" s="17" t="n">
        <x:v>18786.67</x:v>
      </x:c>
      <x:c r="C13" s="25" t="s">
        <x:v>145</x:v>
      </x:c>
      <x:c r="D13" s="2"/>
      <x:c r="E13" s="2"/>
    </x:row>
    <x:row r="14" ht="26.850000381469727" hidden="0">
      <x:c r="A14" s="11" t="s">
        <x:v>146</x:v>
      </x:c>
      <x:c r="B14" s="17" t="n">
        <x:v>846.67</x:v>
      </x:c>
      <x:c r="C14" s="25" t="s">
        <x:v>145</x:v>
      </x:c>
      <x:c r="D14" s="2"/>
      <x:c r="E14" s="2"/>
    </x:row>
    <x:row r="15" ht="26.850000381469727" hidden="0">
      <x:c r="A15" s="11" t="s">
        <x:v>147</x:v>
      </x:c>
      <x:c r="B15" s="17" t="n">
        <x:v>3483.33</x:v>
      </x:c>
      <x:c r="C15" s="25" t="s">
        <x:v>145</x:v>
      </x:c>
      <x:c r="D15" s="2"/>
      <x:c r="E15" s="2"/>
    </x:row>
    <x:row r="16" ht="52.20000076293945" hidden="0">
      <x:c r="A16" s="11" t="s">
        <x:v>148</x:v>
      </x:c>
      <x:c r="B16" s="27" t="n">
        <x:v>51897.53</x:v>
      </x:c>
      <x:c r="C16" s="25" t="s">
        <x:v>149</x:v>
      </x:c>
      <x:c r="D16" s="2"/>
      <x:c r="E16" s="2"/>
    </x:row>
    <x:row r="17" ht="26.850000381469727" hidden="0">
      <x:c r="A17" s="11" t="s">
        <x:v>150</x:v>
      </x:c>
      <x:c r="B17" s="17" t="n">
        <x:v>2374.38</x:v>
      </x:c>
      <x:c r="C17" s="25" t="s">
        <x:v>145</x:v>
      </x:c>
      <x:c r="D17" s="2"/>
      <x:c r="E17" s="2"/>
    </x:row>
    <x:row r="18" ht="52.20000076293945" hidden="0">
      <x:c r="A18" s="11" t="s">
        <x:v>151</x:v>
      </x:c>
      <x:c r="B18" s="27" t="n">
        <x:v>157</x:v>
      </x:c>
      <x:c r="C18" s="25" t="s">
        <x:v>152</x:v>
      </x:c>
      <x:c r="D18" s="2"/>
      <x:c r="E18" s="2"/>
    </x:row>
    <x:row r="19" ht="39.54999923706055" hidden="0">
      <x:c r="A19" s="11" t="s">
        <x:v>120</x:v>
      </x:c>
      <x:c r="B19" s="26" t="n">
        <x:f aca="0">Equipamentos!B43</x:f>
        <x:v>7340</x:v>
      </x:c>
      <x:c r="C19" s="25" t="s">
        <x:v>153</x:v>
      </x:c>
      <x:c r="D19" s="2"/>
      <x:c r="E19" s="2"/>
    </x:row>
    <x:row r="20" ht="15" hidden="0">
      <x:c r="A20" s="77"/>
      <x:c r="B20" s="154"/>
      <x:c r="C20" s="168"/>
      <x:c r="D20" s="2"/>
      <x:c r="E20" s="2"/>
    </x:row>
    <x:row r="21" ht="15" hidden="0">
      <x:c r="A21" s="77"/>
      <x:c r="B21" s="164"/>
      <x:c r="C21" s="168"/>
      <x:c r="D21" s="2"/>
      <x:c r="E21" s="2"/>
    </x:row>
    <x:row r="22" ht="15" hidden="0">
      <x:c r="A22" s="28" t="s">
        <x:v>154</x:v>
      </x:c>
      <x:c r="B22" s="2"/>
      <x:c r="C22" s="2"/>
      <x:c r="D22" s="2"/>
      <x:c r="E22" s="2"/>
    </x:row>
    <x:row r="23" ht="26.850000381469727" hidden="0">
      <x:c r="A23" s="4" t="s">
        <x:v>3</x:v>
      </x:c>
      <x:c r="B23" s="4" t="s">
        <x:v>7</x:v>
      </x:c>
      <x:c r="C23" s="4" t="s">
        <x:v>155</x:v>
      </x:c>
      <x:c r="D23" s="4" t="s">
        <x:v>156</x:v>
      </x:c>
      <x:c r="E23" s="4" t="s">
        <x:v>157</x:v>
      </x:c>
    </x:row>
    <x:row r="24" ht="31.5" hidden="0" customHeight="1">
      <x:c r="A24" s="29" t="s">
        <x:v>17</x:v>
      </x:c>
      <x:c r="B24" s="30" t="n">
        <x:f aca="0">Equipamentos!B15</x:f>
        <x:v>40100</x:v>
      </x:c>
      <x:c r="C24" s="30" t="n">
        <x:f aca="0">$B$8/12</x:f>
        <x:v>4583.333333333333</x:v>
      </x:c>
      <x:c r="D24" s="30" t="n">
        <x:f aca="0">B24+C24*$B$5</x:f>
        <x:v>95100</x:v>
      </x:c>
      <x:c r="E24" s="25" t="s">
        <x:v>158</x:v>
      </x:c>
    </x:row>
    <x:row r="25" ht="31.5" hidden="0" customHeight="1">
      <x:c r="A25" s="29" t="s">
        <x:v>28</x:v>
      </x:c>
      <x:c r="B25" s="30" t="n">
        <x:f aca="0">Equipamentos!B32</x:f>
        <x:v>33699</x:v>
      </x:c>
      <x:c r="C25" s="30" t="n">
        <x:f aca="0">$B$9+$B$10</x:f>
        <x:v>1790</x:v>
      </x:c>
      <x:c r="D25" s="30" t="n">
        <x:f aca="0">B25+C25*$B$5</x:f>
        <x:v>55179</x:v>
      </x:c>
      <x:c r="E25" s="25" t="s">
        <x:v>159</x:v>
      </x:c>
    </x:row>
    <x:row r="26" ht="31.5" hidden="0" customHeight="1">
      <x:c r="A26" s="29" t="s">
        <x:v>37</x:v>
      </x:c>
      <x:c r="B26" s="30" t="n">
        <x:f aca="0">$B$19</x:f>
        <x:v>7340</x:v>
      </x:c>
      <x:c r="C26" s="30" t="n">
        <x:f aca="0">$B$11</x:f>
        <x:v>0</x:v>
      </x:c>
      <x:c r="D26" s="30" t="n">
        <x:f aca="0">B26+C26*$B$5</x:f>
        <x:v>7340</x:v>
      </x:c>
      <x:c r="E26" s="25" t="s">
        <x:v>160</x:v>
      </x:c>
    </x:row>
    <x:row r="27" ht="31.5" hidden="0" customHeight="1">
      <x:c r="A27" s="29" t="s">
        <x:v>47</x:v>
      </x:c>
      <x:c r="B27" s="30" t="n">
        <x:f aca="0">$B$19*$B$6</x:f>
        <x:v>7340</x:v>
      </x:c>
      <x:c r="C27" s="30" t="n">
        <x:f aca="0">$B$12*$B$6</x:f>
        <x:v>299</x:v>
      </x:c>
      <x:c r="D27" s="30" t="n">
        <x:f aca="0">B27+C27*$B$5</x:f>
        <x:v>10928</x:v>
      </x:c>
      <x:c r="E27" s="25" t="s">
        <x:v>161</x:v>
      </x:c>
    </x:row>
    <x:row r="28" ht="31.5" hidden="0" customHeight="1">
      <x:c r="A28" s="29" t="s">
        <x:v>55</x:v>
      </x:c>
      <x:c r="B28" s="30" t="n">
        <x:f aca="0">($B$13+$B$14)*$B$7</x:f>
        <x:v>19633.339999999997</x:v>
      </x:c>
      <x:c r="C28" s="30" t="n">
        <x:f aca="0">$B$15*$B$7</x:f>
        <x:v>3483.33</x:v>
      </x:c>
      <x:c r="D28" s="30" t="n">
        <x:f aca="0">B28+C28*$B$5</x:f>
        <x:v>61433.299999999996</x:v>
      </x:c>
      <x:c r="E28" s="25" t="s">
        <x:v>162</x:v>
      </x:c>
    </x:row>
    <x:row r="29" ht="31.5" hidden="0" customHeight="1">
      <x:c r="A29" s="29" t="s">
        <x:v>65</x:v>
      </x:c>
      <x:c r="B29" s="30" t="n">
        <x:f aca="0">($B$16+$B$17+$B$18)*$B$7</x:f>
        <x:v>54428.909999999996</x:v>
      </x:c>
      <x:c r="C29" s="30" t="n">
        <x:f aca="0">0</x:f>
        <x:v>0</x:v>
      </x:c>
      <x:c r="D29" s="30" t="n">
        <x:f aca="0">B29+C29*$B$5</x:f>
        <x:v>54428.909999999996</x:v>
      </x:c>
      <x:c r="E29" s="25" t="s">
        <x:v>163</x:v>
      </x:c>
    </x:row>
    <x:row r="30" ht="31.5" hidden="0" customHeight="1">
      <x:c r="A30" s="170" t="str">
        <x:v>e-SUS APS / PEC</x:v>
      </x:c>
      <x:c r="B30" s="270" t="n">
        <x:v>0</x:v>
      </x:c>
      <x:c r="C30" s="270" t="n">
        <x:v>0</x:v>
      </x:c>
      <x:c r="D30" s="270" t="n">
        <x:f aca="0"/>
        <x:v>0</x:v>
      </x:c>
      <x:c r="E30" s="174" t="str">
        <x:f aca="0"/>
        <x:v>PEC gratuito para municípios. Custos de infraestrutura/equipamentos não informados no PDF.</x:v>
      </x:c>
    </x:row>
    <x:row r="31" ht="15" hidden="0" customHeight="1">
      <x:c r="A31" s="180" t="str">
        <x:v>Menor custo total no horizonte</x:v>
      </x:c>
      <x:c r="B31" s="182"/>
      <x:c r="C31" s="182"/>
      <x:c r="D31" s="182" t="n">
        <x:f>MIN(D24:D30)</x:f>
        <x:v>0</x:v>
      </x:c>
      <x:c r="E31" s="177" t="str">
        <x:f>INDEX(A24:A30,MATCH(D31,D24:D30,0))</x:f>
        <x:v>e-SUS APS / PEC</x:v>
      </x:c>
    </x:row>
    <x:row r="32" ht="15" customHeight="1">
      <x:c r="A32" s="184" t="str">
        <x:v>Atenção: Jitsi e iClinic não incluem equipamentos médicos; no e-SUS APS/PEC o PDF não informa custos de infraestrutura/equipamentos, então a comparação direta não é equivalente.</x:v>
      </x:c>
      <x:c r="B32" s="184"/>
      <x:c r="C32" s="184"/>
      <x:c r="D32" s="184"/>
      <x:c r="E32" s="184"/>
    </x:row>
    <x:row r="34" ht="26" customHeight="1">
      <x:c r="A34" s="144" t="str">
        <x:v>e-SUS APS / PEC – custos informados no PDF</x:v>
      </x:c>
      <x:c r="B34" s="198"/>
      <x:c r="C34" s="145"/>
    </x:row>
    <x:row r="35">
      <x:c r="A35" s="110" t="str">
        <x:v>Licença do PEC para municípios</x:v>
      </x:c>
      <x:c r="B35" s="203" t="n">
        <x:v>0</x:v>
      </x:c>
      <x:c r="C35" s="113" t="str">
        <x:v>Gratuito para os municípios.</x:v>
      </x:c>
    </x:row>
    <x:row r="36" ht="42" customHeight="1">
      <x:c r="A36" s="112" t="str">
        <x:v>Infraestrutura / equipamentos</x:v>
      </x:c>
      <x:c r="B36" s="271" t="n">
        <x:v>0</x:v>
      </x:c>
      <x:c r="C36" s="115" t="str">
        <x:v>Não informado no PDF; o sistema é instalado localmente e requer computador do anfitrião e certificado digital para RNDS/CADSUS.</x:v>
      </x:c>
    </x:row>
  </x:sheetData>
  <x:pageMargins left="0.7" right="0.7" top="0.75" bottom="0.75" header="0.3" footer="0.3"/>
  <x:drawing xmlns:r="http://schemas.openxmlformats.org/officeDocument/2006/relationships" r:id="R273d028b40314ad1"/>
</x:worksheet>
</file>